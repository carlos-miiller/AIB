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35c808bc442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36cd81655f450b84219e5d612fad2d.psmdcp" Id="Re7b59d73a05941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inel" sheetId="1" r:id="rId2"/>
    <x:sheet name="Dados" sheetId="2" r:id="rId3"/>
  </x:sheets>
  <x:definedNames>
    <x:definedName name="_xlnm.Print_Area" localSheetId="0">Painel!$B$1:$F$19</x:definedName>
    <x:definedName name="_xlnm._FilterDatabase" localSheetId="1" hidden="1">Dados!$A$1:$H$200</x:definedName>
    <x:definedName name="_xlnm.Print_Titles" localSheetId="1">Dados!1:1</x:definedName>
  </x:definedNames>
  <x:calcPr calcId="125725"/>
</x:workbook>
</file>

<file path=xl/calcChain.xml><?xml version="1.0" encoding="utf-8"?>
<x:calcChain xmlns:x="http://schemas.openxmlformats.org/spreadsheetml/2006/main">
  <x:c r="C6" i="1"/>
  <x:c r="C7" i="1"/>
  <x:c r="E7" i="1"/>
  <x:c r="C8" i="1"/>
  <x:c r="E8" i="1"/>
  <x:c r="C9" i="1"/>
  <x:c r="E9" i="1"/>
  <x:c r="C13" i="1"/>
  <x:c r="D13" i="1"/>
  <x:c r="E13" i="1"/>
  <x:c r="F13" i="1"/>
  <x:c r="C14" i="1"/>
  <x:c r="D14" i="1"/>
  <x:c r="E14" i="1"/>
  <x:c r="F14" i="1"/>
  <x:c r="C15" i="1"/>
  <x:c r="D15" i="1"/>
  <x:c r="E15" i="1"/>
  <x:c r="F15" i="1"/>
  <x:c r="C16" i="1"/>
  <x:c r="D16" i="1"/>
  <x:c r="E16" i="1"/>
  <x:c r="F16" i="1"/>
  <x:c r="C17" i="1"/>
  <x:c r="D17" i="1"/>
  <x:c r="E17" i="1"/>
</x:calcChain>
</file>

<file path=xl/sharedStrings.xml><?xml version="1.0" encoding="utf-8"?>
<x:sst xmlns:x="http://schemas.openxmlformats.org/spreadsheetml/2006/main">
  <x:si>
    <x:t/>
  </x:si>
  <x:si>
    <x:t>ID</x:t>
  </x:si>
  <x:si>
    <x:t>Abertura</x:t>
  </x:si>
  <x:si>
    <x:t>Conclusão</x:t>
  </x:si>
  <x:si>
    <x:t>Categoria</x:t>
  </x:si>
  <x:si>
    <x:t>Responsável</x:t>
  </x:si>
  <x:si>
    <x:t>Status</x:t>
  </x:si>
  <x:si>
    <x:t>Horas</x:t>
  </x:si>
  <x:si>
    <x:t>Prazo</x:t>
  </x:si>
  <x:si>
    <x:t>Hardware</x:t>
  </x:si>
  <x:si>
    <x:t>Felipe</x:t>
  </x:si>
  <x:si>
    <x:t>Concluída</x:t>
  </x:si>
  <x:si>
    <x:t>No prazo</x:t>
  </x:si>
  <x:si>
    <x:t>Rede</x:t>
  </x:si>
  <x:si>
    <x:t>Gabriel</x:t>
  </x:si>
  <x:si>
    <x:t>Atrasado</x:t>
  </x:si>
  <x:si>
    <x:t>Acesso</x:t>
  </x:si>
  <x:si>
    <x:t>Marcos</x:t>
  </x:si>
  <x:si>
    <x:t>Sistemas</x:t>
  </x:si>
  <x:si>
    <x:t>Lucas</x:t>
  </x:si>
  <x:si>
    <x:t>Em andamento</x:t>
  </x:si>
  <x:si>
    <x:t>Aberta</x:t>
  </x:si>
  <x:si>
    <x:t>PAINEL DE INDICADORES</x:t>
  </x:si>
  <x:si>
    <x:t>Período: 01/10/2026 a 31/10/2026 · fonte: aba Dados</x:t>
  </x:si>
  <x:si>
    <x:t>INDICADORES GERAIS</x:t>
  </x:si>
  <x:si>
    <x:t>Indicador</x:t>
  </x:si>
  <x:si>
    <x:t>Valor</x:t>
  </x:si>
  <x:si>
    <x:t>Meta</x:t>
  </x:si>
  <x:si>
    <x:t>Situação</x:t>
  </x:si>
  <x:si>
    <x:t>Como se calcula</x:t>
  </x:si>
  <x:si>
    <x:t>Demandas registradas</x:t>
  </x:si>
  <x:si>
    <x:t>—</x:t>
  </x:si>
  <x:si>
    <x:t>Linhas preenchidas na aba Dados</x:t>
  </x:si>
  <x:si>
    <x:t>Taxa de conclusão</x:t>
  </x:si>
  <x:si>
    <x:t>Concluídas ÷ registradas</x:t>
  </x:si>
  <x:si>
    <x:t>Entregas no prazo</x:t>
  </x:si>
  <x:si>
    <x:t>No prazo ÷ concluídas</x:t>
  </x:si>
  <x:si>
    <x:t>Tempo médio de solução (h)</x:t>
  </x:si>
  <x:si>
    <x:t>Média de horas das concluídas (meta: até)</x:t>
  </x:si>
  <x:si>
    <x:t>POR CATEGORIA</x:t>
  </x:si>
  <x:si>
    <x:t>Demandas</x:t>
  </x:si>
  <x:si>
    <x:t>% do total</x:t>
  </x:si>
  <x:si>
    <x:t>Volume</x:t>
  </x:si>
  <x:si>
    <x:t>TOTAL</x:t>
  </x:si>
  <x:si>
    <x:t>Como usar: preencha a aba Dados (uma linha por demanda); o painel se atualiza sozinho. A Situação compara o Valor com a Meta.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</x:si>
</x:sst>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%"/>
    <x:numFmt numFmtId="165" formatCode="0.0"/>
    <x:numFmt numFmtId="166" formatCode="dd/mm/yyyy hh:mm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Segoe UI"/>
      <x:family val="2"/>
    </x:font>
    <x:font>
      <x:b/>
      <x:vertAlign val="baseline"/>
      <x:sz val="20"/>
      <x:color rgb="FF1F3864"/>
      <x:name val="Segoe UI"/>
      <x:family val="2"/>
    </x:font>
    <x:font>
      <x:i/>
      <x:vertAlign val="baseline"/>
      <x:sz val="10"/>
      <x:color rgb="FF7F7F7F"/>
      <x:name val="Segoe UI"/>
      <x:family val="2"/>
    </x:font>
    <x:font>
      <x:b/>
      <x:vertAlign val="baseline"/>
      <x:sz val="10"/>
      <x:color rgb="FFFFFFFF"/>
      <x:name val="Segoe UI"/>
      <x:family val="2"/>
    </x:font>
    <x:font>
      <x:b/>
      <x:vertAlign val="baseline"/>
      <x:sz val="10"/>
      <x:color rgb="FF1F3864"/>
      <x:name val="Segoe UI"/>
      <x:family val="2"/>
    </x:font>
    <x:font>
      <x:b/>
      <x:vertAlign val="baseline"/>
      <x:sz val="10"/>
      <x:color rgb="FF000000"/>
      <x:name val="Segoe U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double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164" fontId="7" fillId="0" borderId="2" applyNumberFormat="1" applyFill="1" applyBorder="1" applyAlignment="1" applyProtection="1">
      <x:protection locked="1" hidden="0"/>
    </x:xf>
    <x:xf numFmtId="165" fontId="7" fillId="0" borderId="2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164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7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7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b/>
        <x:color rgb="FF375623"/>
      </x:font>
      <x:fill>
        <x:patternFill patternType="solid">
          <x:fgColor auto="1"/>
          <x:bgColor rgb="FFE2EFDA"/>
        </x:patternFill>
      </x:fill>
    </x:dxf>
    <x:dxf>
      <x:font>
        <x:b/>
        <x:color rgb="FFC00000"/>
      </x:font>
      <x:fill>
        <x:patternFill patternType="solid">
          <x:fgColor auto="1"/>
          <x:bgColor rgb="FFFCE4D6"/>
        </x:patternFill>
      </x:fill>
    </x:dxf>
    <x:dxf>
      <x:font>
        <x:b/>
        <x:color rgb="FF37562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Relationship Type="http://schemas.openxmlformats.org/officeDocument/2006/relationships/calcChain" Target="/xl/calcChain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1"/>
  <x:sheetViews>
    <x:sheetView showGridLines="0" workbookViewId="0"/>
  </x:sheetViews>
  <x:sheetFormatPr defaultRowHeight="15"/>
  <x:cols>
    <x:col min="1" max="1" width="3.710625" style="0" customWidth="1"/>
    <x:col min="2" max="2" width="30.710625" style="0" customWidth="1"/>
    <x:col min="3" max="4" width="14.710625" style="0" customWidth="1"/>
    <x:col min="5" max="5" width="18.710625" style="0" customWidth="1"/>
    <x:col min="6" max="6" width="38.710625" style="0" customWidth="1"/>
    <x:col min="7" max="7" width="3.710625" style="0" customWidth="1"/>
  </x:cols>
  <x:sheetData>
    <x:row r="1" spans="1:7" ht="44" customHeight="1" s="1" customFormat="1">
      <x:c r="A1" s="3" t="s">
        <x:v>0</x:v>
      </x:c>
      <x:c r="B1" s="4" t="s">
        <x:v>22</x:v>
      </x:c>
      <x:c r="C1" s="4"/>
      <x:c r="D1" s="4"/>
      <x:c r="E1" s="4"/>
      <x:c r="F1" s="4"/>
      <x:c r="G1" s="3"/>
    </x:row>
    <x:row r="2" spans="1:7" ht="20" customHeight="1">
      <x:c r="A2" s="3"/>
      <x:c r="B2" s="5" t="s">
        <x:v>23</x:v>
      </x:c>
      <x:c r="C2" s="5"/>
      <x:c r="D2" s="5"/>
      <x:c r="E2" s="5"/>
      <x:c r="F2" s="5"/>
      <x:c r="G2" s="3"/>
    </x:row>
    <x:row r="3" spans="1:7" ht="10" customHeight="1">
      <x:c r="A3" s="3"/>
      <x:c r="B3" s="3"/>
      <x:c r="C3" s="3"/>
      <x:c r="D3" s="3"/>
      <x:c r="E3" s="3"/>
      <x:c r="F3" s="3"/>
      <x:c r="G3" s="3"/>
    </x:row>
    <x:row r="4" spans="1:7" ht="24" customHeight="1">
      <x:c r="A4" s="3"/>
      <x:c r="B4" s="6" t="s">
        <x:v>24</x:v>
      </x:c>
      <x:c r="C4" s="6"/>
      <x:c r="D4" s="6"/>
      <x:c r="E4" s="6"/>
      <x:c r="F4" s="6"/>
      <x:c r="G4" s="3"/>
    </x:row>
    <x:row r="5" spans="1:7" ht="24" customHeight="1">
      <x:c r="A5" s="3"/>
      <x:c r="B5" s="7" t="s">
        <x:v>25</x:v>
      </x:c>
      <x:c r="C5" s="7" t="s">
        <x:v>26</x:v>
      </x:c>
      <x:c r="D5" s="7" t="s">
        <x:v>27</x:v>
      </x:c>
      <x:c r="E5" s="7" t="s">
        <x:v>28</x:v>
      </x:c>
      <x:c r="F5" s="7" t="s">
        <x:v>29</x:v>
      </x:c>
      <x:c r="G5" s="3"/>
    </x:row>
    <x:row r="6" spans="1:7" ht="24" customHeight="1">
      <x:c r="A6" s="3"/>
      <x:c r="B6" s="8" t="s">
        <x:v>30</x:v>
      </x:c>
      <x:c r="C6" s="9">
        <x:f>COUNTA(Dados!A2:A200)</x:f>
      </x:c>
      <x:c r="D6" s="10" t="s">
        <x:v>31</x:v>
      </x:c>
      <x:c r="E6" s="10" t="s">
        <x:v>31</x:v>
      </x:c>
      <x:c r="F6" s="11" t="s">
        <x:v>32</x:v>
      </x:c>
      <x:c r="G6" s="3"/>
    </x:row>
    <x:row r="7" spans="1:7" ht="24" customHeight="1">
      <x:c r="A7" s="3"/>
      <x:c r="B7" s="8" t="s">
        <x:v>33</x:v>
      </x:c>
      <x:c r="C7" s="12">
        <x:f>IFERROR(COUNTIF(Dados!F2:F200,"Concluída")/C6,0)</x:f>
      </x:c>
      <x:c r="D7" s="13">
        <x:v>0.9</x:v>
      </x:c>
      <x:c r="E7" s="10">
        <x:f>IF(C7&gt;=D7,"Na meta","Abaixo da meta")</x:f>
      </x:c>
      <x:c r="F7" s="11" t="s">
        <x:v>34</x:v>
      </x:c>
      <x:c r="G7" s="3"/>
    </x:row>
    <x:row r="8" spans="1:7" ht="24" customHeight="1">
      <x:c r="A8" s="3"/>
      <x:c r="B8" s="8" t="s">
        <x:v>35</x:v>
      </x:c>
      <x:c r="C8" s="12">
        <x:f>IFERROR(COUNTIF(Dados!H2:H200,"No prazo")/COUNTIF(Dados!F2:F200,"Concluída"),0)</x:f>
      </x:c>
      <x:c r="D8" s="13">
        <x:v>0.95</x:v>
      </x:c>
      <x:c r="E8" s="10">
        <x:f>IF(C8&gt;=D8,"Na meta","Abaixo da meta")</x:f>
      </x:c>
      <x:c r="F8" s="11" t="s">
        <x:v>36</x:v>
      </x:c>
      <x:c r="G8" s="3"/>
    </x:row>
    <x:row r="9" spans="1:7" ht="24" customHeight="1">
      <x:c r="A9" s="3"/>
      <x:c r="B9" s="8" t="s">
        <x:v>37</x:v>
      </x:c>
      <x:c r="C9" s="14">
        <x:f>IFERROR(AVERAGEIF(Dados!F2:F200,"Concluída",Dados!G2:G200),0)</x:f>
      </x:c>
      <x:c r="D9" s="15">
        <x:v>4</x:v>
      </x:c>
      <x:c r="E9" s="10">
        <x:f>IF(C9&lt;=D9,"Na meta","Abaixo da meta")</x:f>
      </x:c>
      <x:c r="F9" s="11" t="s">
        <x:v>38</x:v>
      </x:c>
      <x:c r="G9" s="3"/>
    </x:row>
    <x:row r="10" spans="1:7" ht="10" customHeight="1">
      <x:c r="A10" s="3"/>
      <x:c r="B10" s="3"/>
      <x:c r="C10" s="3"/>
      <x:c r="D10" s="3"/>
      <x:c r="E10" s="3"/>
      <x:c r="F10" s="3"/>
      <x:c r="G10" s="3"/>
    </x:row>
    <x:row r="11" spans="1:7" ht="24" customHeight="1">
      <x:c r="A11" s="3"/>
      <x:c r="B11" s="6" t="s">
        <x:v>39</x:v>
      </x:c>
      <x:c r="C11" s="6"/>
      <x:c r="D11" s="6"/>
      <x:c r="E11" s="6"/>
      <x:c r="F11" s="6"/>
      <x:c r="G11" s="3"/>
    </x:row>
    <x:row r="12" spans="1:7" ht="24" customHeight="1">
      <x:c r="A12" s="3"/>
      <x:c r="B12" s="7" t="s">
        <x:v>4</x:v>
      </x:c>
      <x:c r="C12" s="7" t="s">
        <x:v>40</x:v>
      </x:c>
      <x:c r="D12" s="7" t="s">
        <x:v>41</x:v>
      </x:c>
      <x:c r="E12" s="7" t="s">
        <x:v>7</x:v>
      </x:c>
      <x:c r="F12" s="7" t="s">
        <x:v>42</x:v>
      </x:c>
      <x:c r="G12" s="3"/>
    </x:row>
    <x:row r="13" spans="1:7" ht="24" customHeight="1">
      <x:c r="A13" s="3"/>
      <x:c r="B13" s="8" t="s">
        <x:v>9</x:v>
      </x:c>
      <x:c r="C13" s="10">
        <x:f>COUNTIF(Dados!$D$2:$D$200,B13)</x:f>
      </x:c>
      <x:c r="D13" s="13">
        <x:f>IFERROR(C13/$C$6,0)</x:f>
      </x:c>
      <x:c r="E13" s="15">
        <x:f>SUMIF(Dados!$D$2:$D$200,B13,Dados!$G$2:$G$200)</x:f>
      </x:c>
      <x:c r="F13" s="8">
        <x:f>C13</x:f>
      </x:c>
      <x:c r="G13" s="3"/>
    </x:row>
    <x:row r="14" spans="1:7" ht="24" customHeight="1">
      <x:c r="A14" s="3"/>
      <x:c r="B14" s="8" t="s">
        <x:v>13</x:v>
      </x:c>
      <x:c r="C14" s="10">
        <x:f>COUNTIF(Dados!$D$2:$D$200,B14)</x:f>
      </x:c>
      <x:c r="D14" s="13">
        <x:f>IFERROR(C14/$C$6,0)</x:f>
      </x:c>
      <x:c r="E14" s="15">
        <x:f>SUMIF(Dados!$D$2:$D$200,B14,Dados!$G$2:$G$200)</x:f>
      </x:c>
      <x:c r="F14" s="8">
        <x:f>C14</x:f>
      </x:c>
      <x:c r="G14" s="3"/>
    </x:row>
    <x:row r="15" spans="1:7" ht="24" customHeight="1">
      <x:c r="A15" s="3"/>
      <x:c r="B15" s="8" t="s">
        <x:v>18</x:v>
      </x:c>
      <x:c r="C15" s="10">
        <x:f>COUNTIF(Dados!$D$2:$D$200,B15)</x:f>
      </x:c>
      <x:c r="D15" s="13">
        <x:f>IFERROR(C15/$C$6,0)</x:f>
      </x:c>
      <x:c r="E15" s="15">
        <x:f>SUMIF(Dados!$D$2:$D$200,B15,Dados!$G$2:$G$200)</x:f>
      </x:c>
      <x:c r="F15" s="8">
        <x:f>C15</x:f>
      </x:c>
      <x:c r="G15" s="3"/>
    </x:row>
    <x:row r="16" spans="1:7" ht="24" customHeight="1">
      <x:c r="A16" s="3"/>
      <x:c r="B16" s="8" t="s">
        <x:v>16</x:v>
      </x:c>
      <x:c r="C16" s="10">
        <x:f>COUNTIF(Dados!$D$2:$D$200,B16)</x:f>
      </x:c>
      <x:c r="D16" s="13">
        <x:f>IFERROR(C16/$C$6,0)</x:f>
      </x:c>
      <x:c r="E16" s="15">
        <x:f>SUMIF(Dados!$D$2:$D$200,B16,Dados!$G$2:$G$200)</x:f>
      </x:c>
      <x:c r="F16" s="8">
        <x:f>C16</x:f>
      </x:c>
      <x:c r="G16" s="3"/>
    </x:row>
    <x:row r="17" spans="1:7" ht="24" customHeight="1">
      <x:c r="A17" s="3"/>
      <x:c r="B17" s="16" t="s">
        <x:v>43</x:v>
      </x:c>
      <x:c r="C17" s="17">
        <x:f>SUM(C13:C16)</x:f>
      </x:c>
      <x:c r="D17" s="18">
        <x:f>SUM(D13:D16)</x:f>
      </x:c>
      <x:c r="E17" s="19">
        <x:f>SUM(E13:E16)</x:f>
      </x:c>
      <x:c r="F17" s="16"/>
      <x:c r="G17" s="3"/>
    </x:row>
    <x:row r="18" spans="1:7" ht="10" customHeight="1">
      <x:c r="A18" s="3"/>
      <x:c r="B18" s="3"/>
      <x:c r="C18" s="3"/>
      <x:c r="D18" s="3"/>
      <x:c r="E18" s="3"/>
      <x:c r="F18" s="3"/>
      <x:c r="G18" s="3"/>
    </x:row>
    <x:row r="19" spans="1:7" ht="34" customHeight="1">
      <x:c r="A19" s="3"/>
      <x:c r="B19" s="20" t="s">
        <x:v>44</x:v>
      </x:c>
      <x:c r="C19" s="20"/>
      <x:c r="D19" s="20"/>
      <x:c r="E19" s="20"/>
      <x:c r="F19" s="20"/>
      <x:c r="G19" s="3"/>
    </x:row>
    <x:row r="20" spans="1:7">
      <x:c r="A20" s="3"/>
      <x:c r="B20" s="3"/>
      <x:c r="C20" s="3"/>
      <x:c r="D20" s="3"/>
      <x:c r="E20" s="3"/>
      <x:c r="F20" s="3"/>
      <x:c r="G20" s="3"/>
    </x:row>
  </x:sheetData>
  <x:mergeCells count="5">
    <x:mergeCell ref="B1:F1"/>
    <x:mergeCell ref="B2:F2"/>
    <x:mergeCell ref="B4:F4"/>
    <x:mergeCell ref="B11:F11"/>
    <x:mergeCell ref="B19:F19"/>
  </x:mergeCells>
  <x:conditionalFormatting sqref="E6:E9">
    <x:cfRule type="containsText" dxfId="0" priority="1" operator="containsText" text="Na meta">
      <x:formula>NOT(ISERROR(SEARCH("Na meta",E6)))</x:formula>
    </x:cfRule>
    <x:cfRule type="containsText" dxfId="1" priority="2" operator="containsText" text="Abaixo">
      <x:formula>NOT(ISERROR(SEARCH("Abaixo",E6)))</x:formula>
    </x:cfRule>
  </x:conditionalFormatting>
  <x:conditionalFormatting sqref="F13:F16">
    <x:cfRule type="dataBar" priority="3">
      <x:dataBar showValue="1">
        <x:cfvo type="min" val="0"/>
        <x:cfvo type="max" val="0"/>
        <x:color rgb="FF8EA9DB"/>
      </x:dataBar>
      <x:extLst>
        <x:ext xmlns:x14="http://schemas.microsoft.com/office/spreadsheetml/2009/9/main" uri="{B025F937-C7B1-47D3-B67F-A62EFF666E3E}">
          <x14:id>{5f806a8a-adbb-47de-a2cb-d0691e5d5c70}</x14:id>
        </x:ext>
      </x:extLst>
    </x:cfRule>
  </x:conditionalFormatting>
  <x:printOptions horizontalCentered="1" verticalCentered="0" headings="0" gridLines="0"/>
  <x:pageMargins left="0.25" right="0.25" top="0.75" bottom="0.75" header="0.3" footer="0.3"/>
  <x:pageSetup paperSize="1" fitToHeight="0" pageOrder="downThenOver" orientation="portrait" blackAndWhite="0" draft="0" cellComments="none" errors="displayed"/>
  <x:headerFooter/>
  <x:tableParts count="0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806a8a-adbb-47de-a2cb-d0691e5d5c70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8EA9DB"/>
              <x14:axisColor rgb="FF000000"/>
            </x14:dataBar>
          </x14:cfRule>
          <xm:sqref>F13:F16</xm:sqref>
        </x14:conditionalFormatting>
      </x14:conditionalFormatting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710625" style="0" customWidth="1"/>
    <x:col min="2" max="3" width="18.710625" style="0" customWidth="1"/>
    <x:col min="4" max="4" width="14.710625" style="0" customWidth="1"/>
    <x:col min="5" max="6" width="16.710625" style="0" customWidth="1"/>
    <x:col min="7" max="7" width="9.710625" style="0" customWidth="1"/>
    <x:col min="8" max="8" width="12.710625" style="0" customWidth="1"/>
  </x:cols>
  <x:sheetData>
    <x:row r="1" spans="1:8" ht="26" customHeight="1" s="1" customFormat="1">
      <x:c r="A1" s="6" t="s">
        <x:v>1</x:v>
      </x:c>
      <x:c r="B1" s="6" t="s">
        <x:v>2</x:v>
      </x:c>
      <x:c r="C1" s="6" t="s">
        <x:v>3</x:v>
      </x:c>
      <x:c r="D1" s="6" t="s">
        <x:v>4</x:v>
      </x:c>
      <x:c r="E1" s="6" t="s">
        <x:v>5</x:v>
      </x:c>
      <x:c r="F1" s="6" t="s">
        <x:v>6</x:v>
      </x:c>
      <x:c r="G1" s="6" t="s">
        <x:v>7</x:v>
      </x:c>
      <x:c r="H1" s="6" t="s">
        <x:v>8</x:v>
      </x:c>
    </x:row>
    <x:row r="2" spans="1:8" ht="20" customHeight="1">
      <x:c r="A2" s="10">
        <x:v>1001</x:v>
      </x:c>
      <x:c r="B2" s="21">
        <x:v>46296.3541666667</x:v>
      </x:c>
      <x:c r="C2" s="21">
        <x:v>46296.4583333333</x:v>
      </x:c>
      <x:c r="D2" s="8" t="s">
        <x:v>9</x:v>
      </x:c>
      <x:c r="E2" s="8" t="s">
        <x:v>10</x:v>
      </x:c>
      <x:c r="F2" s="8" t="s">
        <x:v>11</x:v>
      </x:c>
      <x:c r="G2" s="15">
        <x:v>2.5</x:v>
      </x:c>
      <x:c r="H2" s="10" t="s">
        <x:v>12</x:v>
      </x:c>
    </x:row>
    <x:row r="3" spans="1:8" ht="20" customHeight="1">
      <x:c r="A3" s="10">
        <x:v>1002</x:v>
      </x:c>
      <x:c r="B3" s="21">
        <x:v>46296.3819444444</x:v>
      </x:c>
      <x:c r="C3" s="21">
        <x:v>46297.4166666667</x:v>
      </x:c>
      <x:c r="D3" s="8" t="s">
        <x:v>13</x:v>
      </x:c>
      <x:c r="E3" s="8" t="s">
        <x:v>14</x:v>
      </x:c>
      <x:c r="F3" s="8" t="s">
        <x:v>11</x:v>
      </x:c>
      <x:c r="G3" s="15">
        <x:v>6</x:v>
      </x:c>
      <x:c r="H3" s="10" t="s">
        <x:v>15</x:v>
      </x:c>
    </x:row>
    <x:row r="4" spans="1:8" ht="20" customHeight="1">
      <x:c r="A4" s="10">
        <x:v>1003</x:v>
      </x:c>
      <x:c r="B4" s="21">
        <x:v>46297.5833333333</x:v>
      </x:c>
      <x:c r="C4" s="21">
        <x:v>46297.6458333333</x:v>
      </x:c>
      <x:c r="D4" s="8" t="s">
        <x:v>16</x:v>
      </x:c>
      <x:c r="E4" s="8" t="s">
        <x:v>17</x:v>
      </x:c>
      <x:c r="F4" s="8" t="s">
        <x:v>11</x:v>
      </x:c>
      <x:c r="G4" s="15">
        <x:v>1.5</x:v>
      </x:c>
      <x:c r="H4" s="10" t="s">
        <x:v>12</x:v>
      </x:c>
    </x:row>
    <x:row r="5" spans="1:8" ht="20" customHeight="1">
      <x:c r="A5" s="10">
        <x:v>1004</x:v>
      </x:c>
      <x:c r="B5" s="21">
        <x:v>46298.4166666667</x:v>
      </x:c>
      <x:c r="C5" s="21">
        <x:v>46298.6666666667</x:v>
      </x:c>
      <x:c r="D5" s="8" t="s">
        <x:v>18</x:v>
      </x:c>
      <x:c r="E5" s="8" t="s">
        <x:v>19</x:v>
      </x:c>
      <x:c r="F5" s="8" t="s">
        <x:v>11</x:v>
      </x:c>
      <x:c r="G5" s="15">
        <x:v>5</x:v>
      </x:c>
      <x:c r="H5" s="10" t="s">
        <x:v>12</x:v>
      </x:c>
    </x:row>
    <x:row r="6" spans="1:8" ht="20" customHeight="1">
      <x:c r="A6" s="10">
        <x:v>1005</x:v>
      </x:c>
      <x:c r="B6" s="21">
        <x:v>46301.3333333333</x:v>
      </x:c>
      <x:c r="C6" s="21" t="s">
        <x:v>0</x:v>
      </x:c>
      <x:c r="D6" s="8" t="s">
        <x:v>9</x:v>
      </x:c>
      <x:c r="E6" s="8" t="s">
        <x:v>10</x:v>
      </x:c>
      <x:c r="F6" s="8" t="s">
        <x:v>20</x:v>
      </x:c>
      <x:c r="G6" s="15">
        <x:v>3</x:v>
      </x:c>
      <x:c r="H6" s="10" t="s">
        <x:v>0</x:v>
      </x:c>
    </x:row>
    <x:row r="7" spans="1:8" ht="20" customHeight="1">
      <x:c r="A7" s="10">
        <x:v>1006</x:v>
      </x:c>
      <x:c r="B7" s="21">
        <x:v>46301.4722222222</x:v>
      </x:c>
      <x:c r="C7" s="21">
        <x:v>46302.375</x:v>
      </x:c>
      <x:c r="D7" s="8" t="s">
        <x:v>13</x:v>
      </x:c>
      <x:c r="E7" s="8" t="s">
        <x:v>14</x:v>
      </x:c>
      <x:c r="F7" s="8" t="s">
        <x:v>11</x:v>
      </x:c>
      <x:c r="G7" s="15">
        <x:v>4</x:v>
      </x:c>
      <x:c r="H7" s="10" t="s">
        <x:v>12</x:v>
      </x:c>
    </x:row>
    <x:row r="8" spans="1:8" ht="20" customHeight="1">
      <x:c r="A8" s="10">
        <x:v>1007</x:v>
      </x:c>
      <x:c r="B8" s="21">
        <x:v>46302.5729166667</x:v>
      </x:c>
      <x:c r="C8" s="21" t="s">
        <x:v>0</x:v>
      </x:c>
      <x:c r="D8" s="8" t="s">
        <x:v>18</x:v>
      </x:c>
      <x:c r="E8" s="8" t="s">
        <x:v>19</x:v>
      </x:c>
      <x:c r="F8" s="8" t="s">
        <x:v>21</x:v>
      </x:c>
      <x:c r="G8" s="15" t="s">
        <x:v>0</x:v>
      </x:c>
      <x:c r="H8" s="10" t="s">
        <x:v>0</x:v>
      </x:c>
    </x:row>
    <x:row r="9" spans="1:8" ht="20" customHeight="1">
      <x:c r="A9" s="10">
        <x:v>1008</x:v>
      </x:c>
      <x:c r="B9" s="21">
        <x:v>46303.3958333333</x:v>
      </x:c>
      <x:c r="C9" s="21">
        <x:v>46303.4270833333</x:v>
      </x:c>
      <x:c r="D9" s="8" t="s">
        <x:v>16</x:v>
      </x:c>
      <x:c r="E9" s="8" t="s">
        <x:v>17</x:v>
      </x:c>
      <x:c r="F9" s="8" t="s">
        <x:v>11</x:v>
      </x:c>
      <x:c r="G9" s="15">
        <x:v>0.75</x:v>
      </x:c>
      <x:c r="H9" s="10" t="s">
        <x:v>12</x:v>
      </x:c>
    </x:row>
    <x:row r="10" spans="1:8">
      <x:c r="A10" s="22"/>
      <x:c r="B10" s="23"/>
      <x:c r="C10" s="23"/>
      <x:c r="D10" s="24"/>
      <x:c r="E10" s="24"/>
      <x:c r="F10" s="24"/>
      <x:c r="G10" s="25"/>
      <x:c r="H10" s="22"/>
    </x:row>
    <x:row r="11" spans="1:8">
      <x:c r="A11" s="22"/>
      <x:c r="B11" s="23"/>
      <x:c r="C11" s="23"/>
      <x:c r="D11" s="24"/>
      <x:c r="E11" s="24"/>
      <x:c r="F11" s="24"/>
      <x:c r="G11" s="25"/>
      <x:c r="H11" s="22"/>
    </x:row>
    <x:row r="12" spans="1:8">
      <x:c r="A12" s="22"/>
      <x:c r="B12" s="23"/>
      <x:c r="C12" s="23"/>
      <x:c r="D12" s="24"/>
      <x:c r="E12" s="24"/>
      <x:c r="F12" s="24"/>
      <x:c r="G12" s="25"/>
      <x:c r="H12" s="22"/>
    </x:row>
    <x:row r="13" spans="1:8">
      <x:c r="A13" s="22"/>
      <x:c r="B13" s="23"/>
      <x:c r="C13" s="23"/>
      <x:c r="D13" s="24"/>
      <x:c r="E13" s="24"/>
      <x:c r="F13" s="24"/>
      <x:c r="G13" s="25"/>
      <x:c r="H13" s="22"/>
    </x:row>
    <x:row r="14" spans="1:8">
      <x:c r="A14" s="22"/>
      <x:c r="B14" s="23"/>
      <x:c r="C14" s="23"/>
      <x:c r="D14" s="24"/>
      <x:c r="E14" s="24"/>
      <x:c r="F14" s="24"/>
      <x:c r="G14" s="25"/>
      <x:c r="H14" s="22"/>
    </x:row>
    <x:row r="15" spans="1:8">
      <x:c r="A15" s="22"/>
      <x:c r="B15" s="23"/>
      <x:c r="C15" s="23"/>
      <x:c r="D15" s="24"/>
      <x:c r="E15" s="24"/>
      <x:c r="F15" s="24"/>
      <x:c r="G15" s="25"/>
      <x:c r="H15" s="22"/>
    </x:row>
    <x:row r="16" spans="1:8">
      <x:c r="A16" s="22"/>
      <x:c r="B16" s="23"/>
      <x:c r="C16" s="23"/>
      <x:c r="D16" s="24"/>
      <x:c r="E16" s="24"/>
      <x:c r="F16" s="24"/>
      <x:c r="G16" s="25"/>
      <x:c r="H16" s="22"/>
    </x:row>
    <x:row r="17" spans="1:8">
      <x:c r="A17" s="22"/>
      <x:c r="B17" s="23"/>
      <x:c r="C17" s="23"/>
      <x:c r="D17" s="24"/>
      <x:c r="E17" s="24"/>
      <x:c r="F17" s="24"/>
      <x:c r="G17" s="25"/>
      <x:c r="H17" s="22"/>
    </x:row>
    <x:row r="18" spans="1:8">
      <x:c r="A18" s="22"/>
      <x:c r="B18" s="23"/>
      <x:c r="C18" s="23"/>
      <x:c r="D18" s="24"/>
      <x:c r="E18" s="24"/>
      <x:c r="F18" s="24"/>
      <x:c r="G18" s="25"/>
      <x:c r="H18" s="22"/>
    </x:row>
    <x:row r="19" spans="1:8">
      <x:c r="A19" s="22"/>
      <x:c r="B19" s="23"/>
      <x:c r="C19" s="23"/>
      <x:c r="D19" s="24"/>
      <x:c r="E19" s="24"/>
      <x:c r="F19" s="24"/>
      <x:c r="G19" s="25"/>
      <x:c r="H19" s="22"/>
    </x:row>
    <x:row r="20" spans="1:8">
      <x:c r="A20" s="22"/>
      <x:c r="B20" s="23"/>
      <x:c r="C20" s="23"/>
      <x:c r="D20" s="24"/>
      <x:c r="E20" s="24"/>
      <x:c r="F20" s="24"/>
      <x:c r="G20" s="25"/>
      <x:c r="H20" s="22"/>
    </x:row>
    <x:row r="21" spans="1:8">
      <x:c r="A21" s="22"/>
      <x:c r="B21" s="23"/>
      <x:c r="C21" s="23"/>
      <x:c r="D21" s="24"/>
      <x:c r="E21" s="24"/>
      <x:c r="F21" s="24"/>
      <x:c r="G21" s="25"/>
      <x:c r="H21" s="22"/>
    </x:row>
    <x:row r="22" spans="1:8">
      <x:c r="A22" s="22"/>
      <x:c r="B22" s="23"/>
      <x:c r="C22" s="23"/>
      <x:c r="D22" s="24"/>
      <x:c r="E22" s="24"/>
      <x:c r="F22" s="24"/>
      <x:c r="G22" s="25"/>
      <x:c r="H22" s="22"/>
    </x:row>
    <x:row r="23" spans="1:8">
      <x:c r="A23" s="22"/>
      <x:c r="B23" s="23"/>
      <x:c r="C23" s="23"/>
      <x:c r="D23" s="24"/>
      <x:c r="E23" s="24"/>
      <x:c r="F23" s="24"/>
      <x:c r="G23" s="25"/>
      <x:c r="H23" s="22"/>
    </x:row>
    <x:row r="24" spans="1:8">
      <x:c r="A24" s="22"/>
      <x:c r="B24" s="23"/>
      <x:c r="C24" s="23"/>
      <x:c r="D24" s="24"/>
      <x:c r="E24" s="24"/>
      <x:c r="F24" s="24"/>
      <x:c r="G24" s="25"/>
      <x:c r="H24" s="22"/>
    </x:row>
    <x:row r="25" spans="1:8">
      <x:c r="A25" s="22"/>
      <x:c r="B25" s="23"/>
      <x:c r="C25" s="23"/>
      <x:c r="D25" s="24"/>
      <x:c r="E25" s="24"/>
      <x:c r="F25" s="24"/>
      <x:c r="G25" s="25"/>
      <x:c r="H25" s="22"/>
    </x:row>
    <x:row r="26" spans="1:8">
      <x:c r="A26" s="22"/>
      <x:c r="B26" s="23"/>
      <x:c r="C26" s="23"/>
      <x:c r="D26" s="24"/>
      <x:c r="E26" s="24"/>
      <x:c r="F26" s="24"/>
      <x:c r="G26" s="25"/>
      <x:c r="H26" s="22"/>
    </x:row>
    <x:row r="27" spans="1:8">
      <x:c r="A27" s="22"/>
      <x:c r="B27" s="23"/>
      <x:c r="C27" s="23"/>
      <x:c r="D27" s="24"/>
      <x:c r="E27" s="24"/>
      <x:c r="F27" s="24"/>
      <x:c r="G27" s="25"/>
      <x:c r="H27" s="22"/>
    </x:row>
    <x:row r="28" spans="1:8">
      <x:c r="A28" s="22"/>
      <x:c r="B28" s="23"/>
      <x:c r="C28" s="23"/>
      <x:c r="D28" s="24"/>
      <x:c r="E28" s="24"/>
      <x:c r="F28" s="24"/>
      <x:c r="G28" s="25"/>
      <x:c r="H28" s="22"/>
    </x:row>
    <x:row r="29" spans="1:8">
      <x:c r="A29" s="22"/>
      <x:c r="B29" s="23"/>
      <x:c r="C29" s="23"/>
      <x:c r="D29" s="24"/>
      <x:c r="E29" s="24"/>
      <x:c r="F29" s="24"/>
      <x:c r="G29" s="25"/>
      <x:c r="H29" s="22"/>
    </x:row>
    <x:row r="30" spans="1:8">
      <x:c r="A30" s="22"/>
      <x:c r="B30" s="23"/>
      <x:c r="C30" s="23"/>
      <x:c r="D30" s="24"/>
      <x:c r="E30" s="24"/>
      <x:c r="F30" s="24"/>
      <x:c r="G30" s="25"/>
      <x:c r="H30" s="22"/>
    </x:row>
    <x:row r="31" spans="1:8">
      <x:c r="A31" s="22"/>
      <x:c r="B31" s="23"/>
      <x:c r="C31" s="23"/>
      <x:c r="D31" s="24"/>
      <x:c r="E31" s="24"/>
      <x:c r="F31" s="24"/>
      <x:c r="G31" s="25"/>
      <x:c r="H31" s="22"/>
    </x:row>
    <x:row r="32" spans="1:8">
      <x:c r="A32" s="22"/>
      <x:c r="B32" s="23"/>
      <x:c r="C32" s="23"/>
      <x:c r="D32" s="24"/>
      <x:c r="E32" s="24"/>
      <x:c r="F32" s="24"/>
      <x:c r="G32" s="25"/>
      <x:c r="H32" s="22"/>
    </x:row>
    <x:row r="33" spans="1:8">
      <x:c r="A33" s="22"/>
      <x:c r="B33" s="23"/>
      <x:c r="C33" s="23"/>
      <x:c r="D33" s="24"/>
      <x:c r="E33" s="24"/>
      <x:c r="F33" s="24"/>
      <x:c r="G33" s="25"/>
      <x:c r="H33" s="22"/>
    </x:row>
    <x:row r="34" spans="1:8">
      <x:c r="A34" s="22"/>
      <x:c r="B34" s="23"/>
      <x:c r="C34" s="23"/>
      <x:c r="D34" s="24"/>
      <x:c r="E34" s="24"/>
      <x:c r="F34" s="24"/>
      <x:c r="G34" s="25"/>
      <x:c r="H34" s="22"/>
    </x:row>
    <x:row r="35" spans="1:8">
      <x:c r="A35" s="22"/>
      <x:c r="B35" s="23"/>
      <x:c r="C35" s="23"/>
      <x:c r="D35" s="24"/>
      <x:c r="E35" s="24"/>
      <x:c r="F35" s="24"/>
      <x:c r="G35" s="25"/>
      <x:c r="H35" s="22"/>
    </x:row>
    <x:row r="36" spans="1:8">
      <x:c r="A36" s="22"/>
      <x:c r="B36" s="23"/>
      <x:c r="C36" s="23"/>
      <x:c r="D36" s="24"/>
      <x:c r="E36" s="24"/>
      <x:c r="F36" s="24"/>
      <x:c r="G36" s="25"/>
      <x:c r="H36" s="22"/>
    </x:row>
    <x:row r="37" spans="1:8">
      <x:c r="A37" s="22"/>
      <x:c r="B37" s="23"/>
      <x:c r="C37" s="23"/>
      <x:c r="D37" s="24"/>
      <x:c r="E37" s="24"/>
      <x:c r="F37" s="24"/>
      <x:c r="G37" s="25"/>
      <x:c r="H37" s="22"/>
    </x:row>
    <x:row r="38" spans="1:8">
      <x:c r="A38" s="22"/>
      <x:c r="B38" s="23"/>
      <x:c r="C38" s="23"/>
      <x:c r="D38" s="24"/>
      <x:c r="E38" s="24"/>
      <x:c r="F38" s="24"/>
      <x:c r="G38" s="25"/>
      <x:c r="H38" s="22"/>
    </x:row>
    <x:row r="39" spans="1:8">
      <x:c r="A39" s="22"/>
      <x:c r="B39" s="23"/>
      <x:c r="C39" s="23"/>
      <x:c r="D39" s="24"/>
      <x:c r="E39" s="24"/>
      <x:c r="F39" s="24"/>
      <x:c r="G39" s="25"/>
      <x:c r="H39" s="22"/>
    </x:row>
    <x:row r="40" spans="1:8">
      <x:c r="A40" s="22"/>
      <x:c r="B40" s="23"/>
      <x:c r="C40" s="23"/>
      <x:c r="D40" s="24"/>
      <x:c r="E40" s="24"/>
      <x:c r="F40" s="24"/>
      <x:c r="G40" s="25"/>
      <x:c r="H40" s="22"/>
    </x:row>
    <x:row r="41" spans="1:8">
      <x:c r="A41" s="22"/>
      <x:c r="B41" s="23"/>
      <x:c r="C41" s="23"/>
      <x:c r="D41" s="24"/>
      <x:c r="E41" s="24"/>
      <x:c r="F41" s="24"/>
      <x:c r="G41" s="25"/>
      <x:c r="H41" s="22"/>
    </x:row>
    <x:row r="42" spans="1:8">
      <x:c r="A42" s="22"/>
      <x:c r="B42" s="23"/>
      <x:c r="C42" s="23"/>
      <x:c r="D42" s="24"/>
      <x:c r="E42" s="24"/>
      <x:c r="F42" s="24"/>
      <x:c r="G42" s="25"/>
      <x:c r="H42" s="22"/>
    </x:row>
    <x:row r="43" spans="1:8">
      <x:c r="A43" s="22"/>
      <x:c r="B43" s="23"/>
      <x:c r="C43" s="23"/>
      <x:c r="D43" s="24"/>
      <x:c r="E43" s="24"/>
      <x:c r="F43" s="24"/>
      <x:c r="G43" s="25"/>
      <x:c r="H43" s="22"/>
    </x:row>
    <x:row r="44" spans="1:8">
      <x:c r="A44" s="22"/>
      <x:c r="B44" s="23"/>
      <x:c r="C44" s="23"/>
      <x:c r="D44" s="24"/>
      <x:c r="E44" s="24"/>
      <x:c r="F44" s="24"/>
      <x:c r="G44" s="25"/>
      <x:c r="H44" s="22"/>
    </x:row>
    <x:row r="45" spans="1:8">
      <x:c r="A45" s="22"/>
      <x:c r="B45" s="23"/>
      <x:c r="C45" s="23"/>
      <x:c r="D45" s="24"/>
      <x:c r="E45" s="24"/>
      <x:c r="F45" s="24"/>
      <x:c r="G45" s="25"/>
      <x:c r="H45" s="22"/>
    </x:row>
    <x:row r="46" spans="1:8">
      <x:c r="A46" s="22"/>
      <x:c r="B46" s="23"/>
      <x:c r="C46" s="23"/>
      <x:c r="D46" s="24"/>
      <x:c r="E46" s="24"/>
      <x:c r="F46" s="24"/>
      <x:c r="G46" s="25"/>
      <x:c r="H46" s="22"/>
    </x:row>
    <x:row r="47" spans="1:8">
      <x:c r="A47" s="22"/>
      <x:c r="B47" s="23"/>
      <x:c r="C47" s="23"/>
      <x:c r="D47" s="24"/>
      <x:c r="E47" s="24"/>
      <x:c r="F47" s="24"/>
      <x:c r="G47" s="25"/>
      <x:c r="H47" s="22"/>
    </x:row>
    <x:row r="48" spans="1:8">
      <x:c r="A48" s="22"/>
      <x:c r="B48" s="23"/>
      <x:c r="C48" s="23"/>
      <x:c r="D48" s="24"/>
      <x:c r="E48" s="24"/>
      <x:c r="F48" s="24"/>
      <x:c r="G48" s="25"/>
      <x:c r="H48" s="22"/>
    </x:row>
    <x:row r="49" spans="1:8">
      <x:c r="A49" s="22"/>
      <x:c r="B49" s="23"/>
      <x:c r="C49" s="23"/>
      <x:c r="D49" s="24"/>
      <x:c r="E49" s="24"/>
      <x:c r="F49" s="24"/>
      <x:c r="G49" s="25"/>
      <x:c r="H49" s="22"/>
    </x:row>
    <x:row r="50" spans="1:8">
      <x:c r="A50" s="22"/>
      <x:c r="B50" s="23"/>
      <x:c r="C50" s="23"/>
      <x:c r="D50" s="24"/>
      <x:c r="E50" s="24"/>
      <x:c r="F50" s="24"/>
      <x:c r="G50" s="25"/>
      <x:c r="H50" s="22"/>
    </x:row>
    <x:row r="51" spans="1:8">
      <x:c r="A51" s="22"/>
      <x:c r="B51" s="23"/>
      <x:c r="C51" s="23"/>
      <x:c r="D51" s="24"/>
      <x:c r="E51" s="24"/>
      <x:c r="F51" s="24"/>
      <x:c r="G51" s="25"/>
      <x:c r="H51" s="22"/>
    </x:row>
    <x:row r="52" spans="1:8">
      <x:c r="A52" s="22"/>
      <x:c r="B52" s="23"/>
      <x:c r="C52" s="23"/>
      <x:c r="D52" s="24"/>
      <x:c r="E52" s="24"/>
      <x:c r="F52" s="24"/>
      <x:c r="G52" s="25"/>
      <x:c r="H52" s="22"/>
    </x:row>
    <x:row r="53" spans="1:8">
      <x:c r="A53" s="22"/>
      <x:c r="B53" s="23"/>
      <x:c r="C53" s="23"/>
      <x:c r="D53" s="24"/>
      <x:c r="E53" s="24"/>
      <x:c r="F53" s="24"/>
      <x:c r="G53" s="25"/>
      <x:c r="H53" s="22"/>
    </x:row>
    <x:row r="54" spans="1:8">
      <x:c r="A54" s="22"/>
      <x:c r="B54" s="23"/>
      <x:c r="C54" s="23"/>
      <x:c r="D54" s="24"/>
      <x:c r="E54" s="24"/>
      <x:c r="F54" s="24"/>
      <x:c r="G54" s="25"/>
      <x:c r="H54" s="22"/>
    </x:row>
    <x:row r="55" spans="1:8">
      <x:c r="A55" s="22"/>
      <x:c r="B55" s="23"/>
      <x:c r="C55" s="23"/>
      <x:c r="D55" s="24"/>
      <x:c r="E55" s="24"/>
      <x:c r="F55" s="24"/>
      <x:c r="G55" s="25"/>
      <x:c r="H55" s="22"/>
    </x:row>
    <x:row r="56" spans="1:8">
      <x:c r="A56" s="22"/>
      <x:c r="B56" s="23"/>
      <x:c r="C56" s="23"/>
      <x:c r="D56" s="24"/>
      <x:c r="E56" s="24"/>
      <x:c r="F56" s="24"/>
      <x:c r="G56" s="25"/>
      <x:c r="H56" s="22"/>
    </x:row>
    <x:row r="57" spans="1:8">
      <x:c r="A57" s="22"/>
      <x:c r="B57" s="23"/>
      <x:c r="C57" s="23"/>
      <x:c r="D57" s="24"/>
      <x:c r="E57" s="24"/>
      <x:c r="F57" s="24"/>
      <x:c r="G57" s="25"/>
      <x:c r="H57" s="22"/>
    </x:row>
    <x:row r="58" spans="1:8">
      <x:c r="A58" s="22"/>
      <x:c r="B58" s="23"/>
      <x:c r="C58" s="23"/>
      <x:c r="D58" s="24"/>
      <x:c r="E58" s="24"/>
      <x:c r="F58" s="24"/>
      <x:c r="G58" s="25"/>
      <x:c r="H58" s="22"/>
    </x:row>
    <x:row r="59" spans="1:8">
      <x:c r="A59" s="22"/>
      <x:c r="B59" s="23"/>
      <x:c r="C59" s="23"/>
      <x:c r="D59" s="24"/>
      <x:c r="E59" s="24"/>
      <x:c r="F59" s="24"/>
      <x:c r="G59" s="25"/>
      <x:c r="H59" s="22"/>
    </x:row>
    <x:row r="60" spans="1:8">
      <x:c r="A60" s="22"/>
      <x:c r="B60" s="23"/>
      <x:c r="C60" s="23"/>
      <x:c r="D60" s="24"/>
      <x:c r="E60" s="24"/>
      <x:c r="F60" s="24"/>
      <x:c r="G60" s="25"/>
      <x:c r="H60" s="22"/>
    </x:row>
    <x:row r="61" spans="1:8">
      <x:c r="A61" s="22"/>
      <x:c r="B61" s="23"/>
      <x:c r="C61" s="23"/>
      <x:c r="D61" s="24"/>
      <x:c r="E61" s="24"/>
      <x:c r="F61" s="24"/>
      <x:c r="G61" s="25"/>
      <x:c r="H61" s="22"/>
    </x:row>
    <x:row r="62" spans="1:8">
      <x:c r="A62" s="22"/>
      <x:c r="B62" s="23"/>
      <x:c r="C62" s="23"/>
      <x:c r="D62" s="24"/>
      <x:c r="E62" s="24"/>
      <x:c r="F62" s="24"/>
      <x:c r="G62" s="25"/>
      <x:c r="H62" s="22"/>
    </x:row>
    <x:row r="63" spans="1:8">
      <x:c r="A63" s="22"/>
      <x:c r="B63" s="23"/>
      <x:c r="C63" s="23"/>
      <x:c r="D63" s="24"/>
      <x:c r="E63" s="24"/>
      <x:c r="F63" s="24"/>
      <x:c r="G63" s="25"/>
      <x:c r="H63" s="22"/>
    </x:row>
    <x:row r="64" spans="1:8">
      <x:c r="A64" s="22"/>
      <x:c r="B64" s="23"/>
      <x:c r="C64" s="23"/>
      <x:c r="D64" s="24"/>
      <x:c r="E64" s="24"/>
      <x:c r="F64" s="24"/>
      <x:c r="G64" s="25"/>
      <x:c r="H64" s="22"/>
    </x:row>
    <x:row r="65" spans="1:8">
      <x:c r="A65" s="22"/>
      <x:c r="B65" s="23"/>
      <x:c r="C65" s="23"/>
      <x:c r="D65" s="24"/>
      <x:c r="E65" s="24"/>
      <x:c r="F65" s="24"/>
      <x:c r="G65" s="25"/>
      <x:c r="H65" s="22"/>
    </x:row>
    <x:row r="66" spans="1:8">
      <x:c r="A66" s="22"/>
      <x:c r="B66" s="23"/>
      <x:c r="C66" s="23"/>
      <x:c r="D66" s="24"/>
      <x:c r="E66" s="24"/>
      <x:c r="F66" s="24"/>
      <x:c r="G66" s="25"/>
      <x:c r="H66" s="22"/>
    </x:row>
    <x:row r="67" spans="1:8">
      <x:c r="A67" s="22"/>
      <x:c r="B67" s="23"/>
      <x:c r="C67" s="23"/>
      <x:c r="D67" s="24"/>
      <x:c r="E67" s="24"/>
      <x:c r="F67" s="24"/>
      <x:c r="G67" s="25"/>
      <x:c r="H67" s="22"/>
    </x:row>
    <x:row r="68" spans="1:8">
      <x:c r="A68" s="22"/>
      <x:c r="B68" s="23"/>
      <x:c r="C68" s="23"/>
      <x:c r="D68" s="24"/>
      <x:c r="E68" s="24"/>
      <x:c r="F68" s="24"/>
      <x:c r="G68" s="25"/>
      <x:c r="H68" s="22"/>
    </x:row>
    <x:row r="69" spans="1:8">
      <x:c r="A69" s="22"/>
      <x:c r="B69" s="23"/>
      <x:c r="C69" s="23"/>
      <x:c r="D69" s="24"/>
      <x:c r="E69" s="24"/>
      <x:c r="F69" s="24"/>
      <x:c r="G69" s="25"/>
      <x:c r="H69" s="22"/>
    </x:row>
    <x:row r="70" spans="1:8">
      <x:c r="A70" s="22"/>
      <x:c r="B70" s="23"/>
      <x:c r="C70" s="23"/>
      <x:c r="D70" s="24"/>
      <x:c r="E70" s="24"/>
      <x:c r="F70" s="24"/>
      <x:c r="G70" s="25"/>
      <x:c r="H70" s="22"/>
    </x:row>
    <x:row r="71" spans="1:8">
      <x:c r="A71" s="22"/>
      <x:c r="B71" s="23"/>
      <x:c r="C71" s="23"/>
      <x:c r="D71" s="24"/>
      <x:c r="E71" s="24"/>
      <x:c r="F71" s="24"/>
      <x:c r="G71" s="25"/>
      <x:c r="H71" s="22"/>
    </x:row>
    <x:row r="72" spans="1:8">
      <x:c r="A72" s="22"/>
      <x:c r="B72" s="23"/>
      <x:c r="C72" s="23"/>
      <x:c r="D72" s="24"/>
      <x:c r="E72" s="24"/>
      <x:c r="F72" s="24"/>
      <x:c r="G72" s="25"/>
      <x:c r="H72" s="22"/>
    </x:row>
    <x:row r="73" spans="1:8">
      <x:c r="A73" s="22"/>
      <x:c r="B73" s="23"/>
      <x:c r="C73" s="23"/>
      <x:c r="D73" s="24"/>
      <x:c r="E73" s="24"/>
      <x:c r="F73" s="24"/>
      <x:c r="G73" s="25"/>
      <x:c r="H73" s="22"/>
    </x:row>
    <x:row r="74" spans="1:8">
      <x:c r="A74" s="22"/>
      <x:c r="B74" s="23"/>
      <x:c r="C74" s="23"/>
      <x:c r="D74" s="24"/>
      <x:c r="E74" s="24"/>
      <x:c r="F74" s="24"/>
      <x:c r="G74" s="25"/>
      <x:c r="H74" s="22"/>
    </x:row>
    <x:row r="75" spans="1:8">
      <x:c r="A75" s="22"/>
      <x:c r="B75" s="23"/>
      <x:c r="C75" s="23"/>
      <x:c r="D75" s="24"/>
      <x:c r="E75" s="24"/>
      <x:c r="F75" s="24"/>
      <x:c r="G75" s="25"/>
      <x:c r="H75" s="22"/>
    </x:row>
    <x:row r="76" spans="1:8">
      <x:c r="A76" s="22"/>
      <x:c r="B76" s="23"/>
      <x:c r="C76" s="23"/>
      <x:c r="D76" s="24"/>
      <x:c r="E76" s="24"/>
      <x:c r="F76" s="24"/>
      <x:c r="G76" s="25"/>
      <x:c r="H76" s="22"/>
    </x:row>
    <x:row r="77" spans="1:8">
      <x:c r="A77" s="22"/>
      <x:c r="B77" s="23"/>
      <x:c r="C77" s="23"/>
      <x:c r="D77" s="24"/>
      <x:c r="E77" s="24"/>
      <x:c r="F77" s="24"/>
      <x:c r="G77" s="25"/>
      <x:c r="H77" s="22"/>
    </x:row>
    <x:row r="78" spans="1:8">
      <x:c r="A78" s="22"/>
      <x:c r="B78" s="23"/>
      <x:c r="C78" s="23"/>
      <x:c r="D78" s="24"/>
      <x:c r="E78" s="24"/>
      <x:c r="F78" s="24"/>
      <x:c r="G78" s="25"/>
      <x:c r="H78" s="22"/>
    </x:row>
    <x:row r="79" spans="1:8">
      <x:c r="A79" s="22"/>
      <x:c r="B79" s="23"/>
      <x:c r="C79" s="23"/>
      <x:c r="D79" s="24"/>
      <x:c r="E79" s="24"/>
      <x:c r="F79" s="24"/>
      <x:c r="G79" s="25"/>
      <x:c r="H79" s="22"/>
    </x:row>
    <x:row r="80" spans="1:8">
      <x:c r="A80" s="22"/>
      <x:c r="B80" s="23"/>
      <x:c r="C80" s="23"/>
      <x:c r="D80" s="24"/>
      <x:c r="E80" s="24"/>
      <x:c r="F80" s="24"/>
      <x:c r="G80" s="25"/>
      <x:c r="H80" s="22"/>
    </x:row>
    <x:row r="81" spans="1:8">
      <x:c r="A81" s="22"/>
      <x:c r="B81" s="23"/>
      <x:c r="C81" s="23"/>
      <x:c r="D81" s="24"/>
      <x:c r="E81" s="24"/>
      <x:c r="F81" s="24"/>
      <x:c r="G81" s="25"/>
      <x:c r="H81" s="22"/>
    </x:row>
    <x:row r="82" spans="1:8">
      <x:c r="A82" s="22"/>
      <x:c r="B82" s="23"/>
      <x:c r="C82" s="23"/>
      <x:c r="D82" s="24"/>
      <x:c r="E82" s="24"/>
      <x:c r="F82" s="24"/>
      <x:c r="G82" s="25"/>
      <x:c r="H82" s="22"/>
    </x:row>
    <x:row r="83" spans="1:8">
      <x:c r="A83" s="22"/>
      <x:c r="B83" s="23"/>
      <x:c r="C83" s="23"/>
      <x:c r="D83" s="24"/>
      <x:c r="E83" s="24"/>
      <x:c r="F83" s="24"/>
      <x:c r="G83" s="25"/>
      <x:c r="H83" s="22"/>
    </x:row>
    <x:row r="84" spans="1:8">
      <x:c r="A84" s="22"/>
      <x:c r="B84" s="23"/>
      <x:c r="C84" s="23"/>
      <x:c r="D84" s="24"/>
      <x:c r="E84" s="24"/>
      <x:c r="F84" s="24"/>
      <x:c r="G84" s="25"/>
      <x:c r="H84" s="22"/>
    </x:row>
    <x:row r="85" spans="1:8">
      <x:c r="A85" s="22"/>
      <x:c r="B85" s="23"/>
      <x:c r="C85" s="23"/>
      <x:c r="D85" s="24"/>
      <x:c r="E85" s="24"/>
      <x:c r="F85" s="24"/>
      <x:c r="G85" s="25"/>
      <x:c r="H85" s="22"/>
    </x:row>
    <x:row r="86" spans="1:8">
      <x:c r="A86" s="22"/>
      <x:c r="B86" s="23"/>
      <x:c r="C86" s="23"/>
      <x:c r="D86" s="24"/>
      <x:c r="E86" s="24"/>
      <x:c r="F86" s="24"/>
      <x:c r="G86" s="25"/>
      <x:c r="H86" s="22"/>
    </x:row>
    <x:row r="87" spans="1:8">
      <x:c r="A87" s="22"/>
      <x:c r="B87" s="23"/>
      <x:c r="C87" s="23"/>
      <x:c r="D87" s="24"/>
      <x:c r="E87" s="24"/>
      <x:c r="F87" s="24"/>
      <x:c r="G87" s="25"/>
      <x:c r="H87" s="22"/>
    </x:row>
    <x:row r="88" spans="1:8">
      <x:c r="A88" s="22"/>
      <x:c r="B88" s="23"/>
      <x:c r="C88" s="23"/>
      <x:c r="D88" s="24"/>
      <x:c r="E88" s="24"/>
      <x:c r="F88" s="24"/>
      <x:c r="G88" s="25"/>
      <x:c r="H88" s="22"/>
    </x:row>
    <x:row r="89" spans="1:8">
      <x:c r="A89" s="22"/>
      <x:c r="B89" s="23"/>
      <x:c r="C89" s="23"/>
      <x:c r="D89" s="24"/>
      <x:c r="E89" s="24"/>
      <x:c r="F89" s="24"/>
      <x:c r="G89" s="25"/>
      <x:c r="H89" s="22"/>
    </x:row>
    <x:row r="90" spans="1:8">
      <x:c r="A90" s="22"/>
      <x:c r="B90" s="23"/>
      <x:c r="C90" s="23"/>
      <x:c r="D90" s="24"/>
      <x:c r="E90" s="24"/>
      <x:c r="F90" s="24"/>
      <x:c r="G90" s="25"/>
      <x:c r="H90" s="22"/>
    </x:row>
    <x:row r="91" spans="1:8">
      <x:c r="A91" s="22"/>
      <x:c r="B91" s="23"/>
      <x:c r="C91" s="23"/>
      <x:c r="D91" s="24"/>
      <x:c r="E91" s="24"/>
      <x:c r="F91" s="24"/>
      <x:c r="G91" s="25"/>
      <x:c r="H91" s="22"/>
    </x:row>
    <x:row r="92" spans="1:8">
      <x:c r="A92" s="22"/>
      <x:c r="B92" s="23"/>
      <x:c r="C92" s="23"/>
      <x:c r="D92" s="24"/>
      <x:c r="E92" s="24"/>
      <x:c r="F92" s="24"/>
      <x:c r="G92" s="25"/>
      <x:c r="H92" s="22"/>
    </x:row>
    <x:row r="93" spans="1:8">
      <x:c r="A93" s="22"/>
      <x:c r="B93" s="23"/>
      <x:c r="C93" s="23"/>
      <x:c r="D93" s="24"/>
      <x:c r="E93" s="24"/>
      <x:c r="F93" s="24"/>
      <x:c r="G93" s="25"/>
      <x:c r="H93" s="22"/>
    </x:row>
    <x:row r="94" spans="1:8">
      <x:c r="A94" s="22"/>
      <x:c r="B94" s="23"/>
      <x:c r="C94" s="23"/>
      <x:c r="D94" s="24"/>
      <x:c r="E94" s="24"/>
      <x:c r="F94" s="24"/>
      <x:c r="G94" s="25"/>
      <x:c r="H94" s="22"/>
    </x:row>
    <x:row r="95" spans="1:8">
      <x:c r="A95" s="22"/>
      <x:c r="B95" s="23"/>
      <x:c r="C95" s="23"/>
      <x:c r="D95" s="24"/>
      <x:c r="E95" s="24"/>
      <x:c r="F95" s="24"/>
      <x:c r="G95" s="25"/>
      <x:c r="H95" s="22"/>
    </x:row>
    <x:row r="96" spans="1:8">
      <x:c r="A96" s="22"/>
      <x:c r="B96" s="23"/>
      <x:c r="C96" s="23"/>
      <x:c r="D96" s="24"/>
      <x:c r="E96" s="24"/>
      <x:c r="F96" s="24"/>
      <x:c r="G96" s="25"/>
      <x:c r="H96" s="22"/>
    </x:row>
    <x:row r="97" spans="1:8">
      <x:c r="A97" s="22"/>
      <x:c r="B97" s="23"/>
      <x:c r="C97" s="23"/>
      <x:c r="D97" s="24"/>
      <x:c r="E97" s="24"/>
      <x:c r="F97" s="24"/>
      <x:c r="G97" s="25"/>
      <x:c r="H97" s="22"/>
    </x:row>
    <x:row r="98" spans="1:8">
      <x:c r="A98" s="22"/>
      <x:c r="B98" s="23"/>
      <x:c r="C98" s="23"/>
      <x:c r="D98" s="24"/>
      <x:c r="E98" s="24"/>
      <x:c r="F98" s="24"/>
      <x:c r="G98" s="25"/>
      <x:c r="H98" s="22"/>
    </x:row>
    <x:row r="99" spans="1:8">
      <x:c r="A99" s="22"/>
      <x:c r="B99" s="23"/>
      <x:c r="C99" s="23"/>
      <x:c r="D99" s="24"/>
      <x:c r="E99" s="24"/>
      <x:c r="F99" s="24"/>
      <x:c r="G99" s="25"/>
      <x:c r="H99" s="22"/>
    </x:row>
    <x:row r="100" spans="1:8">
      <x:c r="A100" s="22"/>
      <x:c r="B100" s="23"/>
      <x:c r="C100" s="23"/>
      <x:c r="D100" s="24"/>
      <x:c r="E100" s="24"/>
      <x:c r="F100" s="24"/>
      <x:c r="G100" s="25"/>
      <x:c r="H100" s="22"/>
    </x:row>
    <x:row r="101" spans="1:8">
      <x:c r="A101" s="22"/>
      <x:c r="B101" s="23"/>
      <x:c r="C101" s="23"/>
      <x:c r="D101" s="24"/>
      <x:c r="E101" s="24"/>
      <x:c r="F101" s="24"/>
      <x:c r="G101" s="25"/>
      <x:c r="H101" s="22"/>
    </x:row>
    <x:row r="102" spans="1:8">
      <x:c r="A102" s="22"/>
      <x:c r="B102" s="23"/>
      <x:c r="C102" s="23"/>
      <x:c r="D102" s="24"/>
      <x:c r="E102" s="24"/>
      <x:c r="F102" s="24"/>
      <x:c r="G102" s="25"/>
      <x:c r="H102" s="22"/>
    </x:row>
    <x:row r="103" spans="1:8">
      <x:c r="A103" s="22"/>
      <x:c r="B103" s="23"/>
      <x:c r="C103" s="23"/>
      <x:c r="D103" s="24"/>
      <x:c r="E103" s="24"/>
      <x:c r="F103" s="24"/>
      <x:c r="G103" s="25"/>
      <x:c r="H103" s="22"/>
    </x:row>
    <x:row r="104" spans="1:8">
      <x:c r="A104" s="22"/>
      <x:c r="B104" s="23"/>
      <x:c r="C104" s="23"/>
      <x:c r="D104" s="24"/>
      <x:c r="E104" s="24"/>
      <x:c r="F104" s="24"/>
      <x:c r="G104" s="25"/>
      <x:c r="H104" s="22"/>
    </x:row>
    <x:row r="105" spans="1:8">
      <x:c r="A105" s="22"/>
      <x:c r="B105" s="23"/>
      <x:c r="C105" s="23"/>
      <x:c r="D105" s="24"/>
      <x:c r="E105" s="24"/>
      <x:c r="F105" s="24"/>
      <x:c r="G105" s="25"/>
      <x:c r="H105" s="22"/>
    </x:row>
    <x:row r="106" spans="1:8">
      <x:c r="A106" s="22"/>
      <x:c r="B106" s="23"/>
      <x:c r="C106" s="23"/>
      <x:c r="D106" s="24"/>
      <x:c r="E106" s="24"/>
      <x:c r="F106" s="24"/>
      <x:c r="G106" s="25"/>
      <x:c r="H106" s="22"/>
    </x:row>
    <x:row r="107" spans="1:8">
      <x:c r="A107" s="22"/>
      <x:c r="B107" s="23"/>
      <x:c r="C107" s="23"/>
      <x:c r="D107" s="24"/>
      <x:c r="E107" s="24"/>
      <x:c r="F107" s="24"/>
      <x:c r="G107" s="25"/>
      <x:c r="H107" s="22"/>
    </x:row>
    <x:row r="108" spans="1:8">
      <x:c r="A108" s="22"/>
      <x:c r="B108" s="23"/>
      <x:c r="C108" s="23"/>
      <x:c r="D108" s="24"/>
      <x:c r="E108" s="24"/>
      <x:c r="F108" s="24"/>
      <x:c r="G108" s="25"/>
      <x:c r="H108" s="22"/>
    </x:row>
    <x:row r="109" spans="1:8">
      <x:c r="A109" s="22"/>
      <x:c r="B109" s="23"/>
      <x:c r="C109" s="23"/>
      <x:c r="D109" s="24"/>
      <x:c r="E109" s="24"/>
      <x:c r="F109" s="24"/>
      <x:c r="G109" s="25"/>
      <x:c r="H109" s="22"/>
    </x:row>
    <x:row r="110" spans="1:8">
      <x:c r="A110" s="22"/>
      <x:c r="B110" s="23"/>
      <x:c r="C110" s="23"/>
      <x:c r="D110" s="24"/>
      <x:c r="E110" s="24"/>
      <x:c r="F110" s="24"/>
      <x:c r="G110" s="25"/>
      <x:c r="H110" s="22"/>
    </x:row>
    <x:row r="111" spans="1:8">
      <x:c r="A111" s="22"/>
      <x:c r="B111" s="23"/>
      <x:c r="C111" s="23"/>
      <x:c r="D111" s="24"/>
      <x:c r="E111" s="24"/>
      <x:c r="F111" s="24"/>
      <x:c r="G111" s="25"/>
      <x:c r="H111" s="22"/>
    </x:row>
    <x:row r="112" spans="1:8">
      <x:c r="A112" s="22"/>
      <x:c r="B112" s="23"/>
      <x:c r="C112" s="23"/>
      <x:c r="D112" s="24"/>
      <x:c r="E112" s="24"/>
      <x:c r="F112" s="24"/>
      <x:c r="G112" s="25"/>
      <x:c r="H112" s="22"/>
    </x:row>
    <x:row r="113" spans="1:8">
      <x:c r="A113" s="22"/>
      <x:c r="B113" s="23"/>
      <x:c r="C113" s="23"/>
      <x:c r="D113" s="24"/>
      <x:c r="E113" s="24"/>
      <x:c r="F113" s="24"/>
      <x:c r="G113" s="25"/>
      <x:c r="H113" s="22"/>
    </x:row>
    <x:row r="114" spans="1:8">
      <x:c r="A114" s="22"/>
      <x:c r="B114" s="23"/>
      <x:c r="C114" s="23"/>
      <x:c r="D114" s="24"/>
      <x:c r="E114" s="24"/>
      <x:c r="F114" s="24"/>
      <x:c r="G114" s="25"/>
      <x:c r="H114" s="22"/>
    </x:row>
    <x:row r="115" spans="1:8">
      <x:c r="A115" s="22"/>
      <x:c r="B115" s="23"/>
      <x:c r="C115" s="23"/>
      <x:c r="D115" s="24"/>
      <x:c r="E115" s="24"/>
      <x:c r="F115" s="24"/>
      <x:c r="G115" s="25"/>
      <x:c r="H115" s="22"/>
    </x:row>
    <x:row r="116" spans="1:8">
      <x:c r="A116" s="22"/>
      <x:c r="B116" s="23"/>
      <x:c r="C116" s="23"/>
      <x:c r="D116" s="24"/>
      <x:c r="E116" s="24"/>
      <x:c r="F116" s="24"/>
      <x:c r="G116" s="25"/>
      <x:c r="H116" s="22"/>
    </x:row>
    <x:row r="117" spans="1:8">
      <x:c r="A117" s="22"/>
      <x:c r="B117" s="23"/>
      <x:c r="C117" s="23"/>
      <x:c r="D117" s="24"/>
      <x:c r="E117" s="24"/>
      <x:c r="F117" s="24"/>
      <x:c r="G117" s="25"/>
      <x:c r="H117" s="22"/>
    </x:row>
    <x:row r="118" spans="1:8">
      <x:c r="A118" s="22"/>
      <x:c r="B118" s="23"/>
      <x:c r="C118" s="23"/>
      <x:c r="D118" s="24"/>
      <x:c r="E118" s="24"/>
      <x:c r="F118" s="24"/>
      <x:c r="G118" s="25"/>
      <x:c r="H118" s="22"/>
    </x:row>
    <x:row r="119" spans="1:8">
      <x:c r="A119" s="22"/>
      <x:c r="B119" s="23"/>
      <x:c r="C119" s="23"/>
      <x:c r="D119" s="24"/>
      <x:c r="E119" s="24"/>
      <x:c r="F119" s="24"/>
      <x:c r="G119" s="25"/>
      <x:c r="H119" s="22"/>
    </x:row>
    <x:row r="120" spans="1:8">
      <x:c r="A120" s="22"/>
      <x:c r="B120" s="23"/>
      <x:c r="C120" s="23"/>
      <x:c r="D120" s="24"/>
      <x:c r="E120" s="24"/>
      <x:c r="F120" s="24"/>
      <x:c r="G120" s="25"/>
      <x:c r="H120" s="22"/>
    </x:row>
    <x:row r="121" spans="1:8">
      <x:c r="A121" s="22"/>
      <x:c r="B121" s="23"/>
      <x:c r="C121" s="23"/>
      <x:c r="D121" s="24"/>
      <x:c r="E121" s="24"/>
      <x:c r="F121" s="24"/>
      <x:c r="G121" s="25"/>
      <x:c r="H121" s="22"/>
    </x:row>
    <x:row r="122" spans="1:8">
      <x:c r="A122" s="22"/>
      <x:c r="B122" s="23"/>
      <x:c r="C122" s="23"/>
      <x:c r="D122" s="24"/>
      <x:c r="E122" s="24"/>
      <x:c r="F122" s="24"/>
      <x:c r="G122" s="25"/>
      <x:c r="H122" s="22"/>
    </x:row>
    <x:row r="123" spans="1:8">
      <x:c r="A123" s="22"/>
      <x:c r="B123" s="23"/>
      <x:c r="C123" s="23"/>
      <x:c r="D123" s="24"/>
      <x:c r="E123" s="24"/>
      <x:c r="F123" s="24"/>
      <x:c r="G123" s="25"/>
      <x:c r="H123" s="22"/>
    </x:row>
    <x:row r="124" spans="1:8">
      <x:c r="A124" s="22"/>
      <x:c r="B124" s="23"/>
      <x:c r="C124" s="23"/>
      <x:c r="D124" s="24"/>
      <x:c r="E124" s="24"/>
      <x:c r="F124" s="24"/>
      <x:c r="G124" s="25"/>
      <x:c r="H124" s="22"/>
    </x:row>
    <x:row r="125" spans="1:8">
      <x:c r="A125" s="22"/>
      <x:c r="B125" s="23"/>
      <x:c r="C125" s="23"/>
      <x:c r="D125" s="24"/>
      <x:c r="E125" s="24"/>
      <x:c r="F125" s="24"/>
      <x:c r="G125" s="25"/>
      <x:c r="H125" s="22"/>
    </x:row>
    <x:row r="126" spans="1:8">
      <x:c r="A126" s="22"/>
      <x:c r="B126" s="23"/>
      <x:c r="C126" s="23"/>
      <x:c r="D126" s="24"/>
      <x:c r="E126" s="24"/>
      <x:c r="F126" s="24"/>
      <x:c r="G126" s="25"/>
      <x:c r="H126" s="22"/>
    </x:row>
    <x:row r="127" spans="1:8">
      <x:c r="A127" s="22"/>
      <x:c r="B127" s="23"/>
      <x:c r="C127" s="23"/>
      <x:c r="D127" s="24"/>
      <x:c r="E127" s="24"/>
      <x:c r="F127" s="24"/>
      <x:c r="G127" s="25"/>
      <x:c r="H127" s="22"/>
    </x:row>
    <x:row r="128" spans="1:8">
      <x:c r="A128" s="22"/>
      <x:c r="B128" s="23"/>
      <x:c r="C128" s="23"/>
      <x:c r="D128" s="24"/>
      <x:c r="E128" s="24"/>
      <x:c r="F128" s="24"/>
      <x:c r="G128" s="25"/>
      <x:c r="H128" s="22"/>
    </x:row>
    <x:row r="129" spans="1:8">
      <x:c r="A129" s="22"/>
      <x:c r="B129" s="23"/>
      <x:c r="C129" s="23"/>
      <x:c r="D129" s="24"/>
      <x:c r="E129" s="24"/>
      <x:c r="F129" s="24"/>
      <x:c r="G129" s="25"/>
      <x:c r="H129" s="22"/>
    </x:row>
    <x:row r="130" spans="1:8">
      <x:c r="A130" s="22"/>
      <x:c r="B130" s="23"/>
      <x:c r="C130" s="23"/>
      <x:c r="D130" s="24"/>
      <x:c r="E130" s="24"/>
      <x:c r="F130" s="24"/>
      <x:c r="G130" s="25"/>
      <x:c r="H130" s="22"/>
    </x:row>
    <x:row r="131" spans="1:8">
      <x:c r="A131" s="22"/>
      <x:c r="B131" s="23"/>
      <x:c r="C131" s="23"/>
      <x:c r="D131" s="24"/>
      <x:c r="E131" s="24"/>
      <x:c r="F131" s="24"/>
      <x:c r="G131" s="25"/>
      <x:c r="H131" s="22"/>
    </x:row>
    <x:row r="132" spans="1:8">
      <x:c r="A132" s="22"/>
      <x:c r="B132" s="23"/>
      <x:c r="C132" s="23"/>
      <x:c r="D132" s="24"/>
      <x:c r="E132" s="24"/>
      <x:c r="F132" s="24"/>
      <x:c r="G132" s="25"/>
      <x:c r="H132" s="22"/>
    </x:row>
    <x:row r="133" spans="1:8">
      <x:c r="A133" s="22"/>
      <x:c r="B133" s="23"/>
      <x:c r="C133" s="23"/>
      <x:c r="D133" s="24"/>
      <x:c r="E133" s="24"/>
      <x:c r="F133" s="24"/>
      <x:c r="G133" s="25"/>
      <x:c r="H133" s="22"/>
    </x:row>
    <x:row r="134" spans="1:8">
      <x:c r="A134" s="22"/>
      <x:c r="B134" s="23"/>
      <x:c r="C134" s="23"/>
      <x:c r="D134" s="24"/>
      <x:c r="E134" s="24"/>
      <x:c r="F134" s="24"/>
      <x:c r="G134" s="25"/>
      <x:c r="H134" s="22"/>
    </x:row>
    <x:row r="135" spans="1:8">
      <x:c r="A135" s="22"/>
      <x:c r="B135" s="23"/>
      <x:c r="C135" s="23"/>
      <x:c r="D135" s="24"/>
      <x:c r="E135" s="24"/>
      <x:c r="F135" s="24"/>
      <x:c r="G135" s="25"/>
      <x:c r="H135" s="22"/>
    </x:row>
    <x:row r="136" spans="1:8">
      <x:c r="A136" s="22"/>
      <x:c r="B136" s="23"/>
      <x:c r="C136" s="23"/>
      <x:c r="D136" s="24"/>
      <x:c r="E136" s="24"/>
      <x:c r="F136" s="24"/>
      <x:c r="G136" s="25"/>
      <x:c r="H136" s="22"/>
    </x:row>
    <x:row r="137" spans="1:8">
      <x:c r="A137" s="22"/>
      <x:c r="B137" s="23"/>
      <x:c r="C137" s="23"/>
      <x:c r="D137" s="24"/>
      <x:c r="E137" s="24"/>
      <x:c r="F137" s="24"/>
      <x:c r="G137" s="25"/>
      <x:c r="H137" s="22"/>
    </x:row>
    <x:row r="138" spans="1:8">
      <x:c r="A138" s="22"/>
      <x:c r="B138" s="23"/>
      <x:c r="C138" s="23"/>
      <x:c r="D138" s="24"/>
      <x:c r="E138" s="24"/>
      <x:c r="F138" s="24"/>
      <x:c r="G138" s="25"/>
      <x:c r="H138" s="22"/>
    </x:row>
    <x:row r="139" spans="1:8">
      <x:c r="A139" s="22"/>
      <x:c r="B139" s="23"/>
      <x:c r="C139" s="23"/>
      <x:c r="D139" s="24"/>
      <x:c r="E139" s="24"/>
      <x:c r="F139" s="24"/>
      <x:c r="G139" s="25"/>
      <x:c r="H139" s="22"/>
    </x:row>
    <x:row r="140" spans="1:8">
      <x:c r="A140" s="22"/>
      <x:c r="B140" s="23"/>
      <x:c r="C140" s="23"/>
      <x:c r="D140" s="24"/>
      <x:c r="E140" s="24"/>
      <x:c r="F140" s="24"/>
      <x:c r="G140" s="25"/>
      <x:c r="H140" s="22"/>
    </x:row>
    <x:row r="141" spans="1:8">
      <x:c r="A141" s="22"/>
      <x:c r="B141" s="23"/>
      <x:c r="C141" s="23"/>
      <x:c r="D141" s="24"/>
      <x:c r="E141" s="24"/>
      <x:c r="F141" s="24"/>
      <x:c r="G141" s="25"/>
      <x:c r="H141" s="22"/>
    </x:row>
    <x:row r="142" spans="1:8">
      <x:c r="A142" s="22"/>
      <x:c r="B142" s="23"/>
      <x:c r="C142" s="23"/>
      <x:c r="D142" s="24"/>
      <x:c r="E142" s="24"/>
      <x:c r="F142" s="24"/>
      <x:c r="G142" s="25"/>
      <x:c r="H142" s="22"/>
    </x:row>
    <x:row r="143" spans="1:8">
      <x:c r="A143" s="22"/>
      <x:c r="B143" s="23"/>
      <x:c r="C143" s="23"/>
      <x:c r="D143" s="24"/>
      <x:c r="E143" s="24"/>
      <x:c r="F143" s="24"/>
      <x:c r="G143" s="25"/>
      <x:c r="H143" s="22"/>
    </x:row>
    <x:row r="144" spans="1:8">
      <x:c r="A144" s="22"/>
      <x:c r="B144" s="23"/>
      <x:c r="C144" s="23"/>
      <x:c r="D144" s="24"/>
      <x:c r="E144" s="24"/>
      <x:c r="F144" s="24"/>
      <x:c r="G144" s="25"/>
      <x:c r="H144" s="22"/>
    </x:row>
    <x:row r="145" spans="1:8">
      <x:c r="A145" s="22"/>
      <x:c r="B145" s="23"/>
      <x:c r="C145" s="23"/>
      <x:c r="D145" s="24"/>
      <x:c r="E145" s="24"/>
      <x:c r="F145" s="24"/>
      <x:c r="G145" s="25"/>
      <x:c r="H145" s="22"/>
    </x:row>
    <x:row r="146" spans="1:8">
      <x:c r="A146" s="22"/>
      <x:c r="B146" s="23"/>
      <x:c r="C146" s="23"/>
      <x:c r="D146" s="24"/>
      <x:c r="E146" s="24"/>
      <x:c r="F146" s="24"/>
      <x:c r="G146" s="25"/>
      <x:c r="H146" s="22"/>
    </x:row>
    <x:row r="147" spans="1:8">
      <x:c r="A147" s="22"/>
      <x:c r="B147" s="23"/>
      <x:c r="C147" s="23"/>
      <x:c r="D147" s="24"/>
      <x:c r="E147" s="24"/>
      <x:c r="F147" s="24"/>
      <x:c r="G147" s="25"/>
      <x:c r="H147" s="22"/>
    </x:row>
    <x:row r="148" spans="1:8">
      <x:c r="A148" s="22"/>
      <x:c r="B148" s="23"/>
      <x:c r="C148" s="23"/>
      <x:c r="D148" s="24"/>
      <x:c r="E148" s="24"/>
      <x:c r="F148" s="24"/>
      <x:c r="G148" s="25"/>
      <x:c r="H148" s="22"/>
    </x:row>
    <x:row r="149" spans="1:8">
      <x:c r="A149" s="22"/>
      <x:c r="B149" s="23"/>
      <x:c r="C149" s="23"/>
      <x:c r="D149" s="24"/>
      <x:c r="E149" s="24"/>
      <x:c r="F149" s="24"/>
      <x:c r="G149" s="25"/>
      <x:c r="H149" s="22"/>
    </x:row>
    <x:row r="150" spans="1:8">
      <x:c r="A150" s="22"/>
      <x:c r="B150" s="23"/>
      <x:c r="C150" s="23"/>
      <x:c r="D150" s="24"/>
      <x:c r="E150" s="24"/>
      <x:c r="F150" s="24"/>
      <x:c r="G150" s="25"/>
      <x:c r="H150" s="22"/>
    </x:row>
    <x:row r="151" spans="1:8">
      <x:c r="A151" s="22"/>
      <x:c r="B151" s="23"/>
      <x:c r="C151" s="23"/>
      <x:c r="D151" s="24"/>
      <x:c r="E151" s="24"/>
      <x:c r="F151" s="24"/>
      <x:c r="G151" s="25"/>
      <x:c r="H151" s="22"/>
    </x:row>
    <x:row r="152" spans="1:8">
      <x:c r="A152" s="22"/>
      <x:c r="B152" s="23"/>
      <x:c r="C152" s="23"/>
      <x:c r="D152" s="24"/>
      <x:c r="E152" s="24"/>
      <x:c r="F152" s="24"/>
      <x:c r="G152" s="25"/>
      <x:c r="H152" s="22"/>
    </x:row>
    <x:row r="153" spans="1:8">
      <x:c r="A153" s="22"/>
      <x:c r="B153" s="23"/>
      <x:c r="C153" s="23"/>
      <x:c r="D153" s="24"/>
      <x:c r="E153" s="24"/>
      <x:c r="F153" s="24"/>
      <x:c r="G153" s="25"/>
      <x:c r="H153" s="22"/>
    </x:row>
    <x:row r="154" spans="1:8">
      <x:c r="A154" s="22"/>
      <x:c r="B154" s="23"/>
      <x:c r="C154" s="23"/>
      <x:c r="D154" s="24"/>
      <x:c r="E154" s="24"/>
      <x:c r="F154" s="24"/>
      <x:c r="G154" s="25"/>
      <x:c r="H154" s="22"/>
    </x:row>
    <x:row r="155" spans="1:8">
      <x:c r="A155" s="22"/>
      <x:c r="B155" s="23"/>
      <x:c r="C155" s="23"/>
      <x:c r="D155" s="24"/>
      <x:c r="E155" s="24"/>
      <x:c r="F155" s="24"/>
      <x:c r="G155" s="25"/>
      <x:c r="H155" s="22"/>
    </x:row>
    <x:row r="156" spans="1:8">
      <x:c r="A156" s="22"/>
      <x:c r="B156" s="23"/>
      <x:c r="C156" s="23"/>
      <x:c r="D156" s="24"/>
      <x:c r="E156" s="24"/>
      <x:c r="F156" s="24"/>
      <x:c r="G156" s="25"/>
      <x:c r="H156" s="22"/>
    </x:row>
    <x:row r="157" spans="1:8">
      <x:c r="A157" s="22"/>
      <x:c r="B157" s="23"/>
      <x:c r="C157" s="23"/>
      <x:c r="D157" s="24"/>
      <x:c r="E157" s="24"/>
      <x:c r="F157" s="24"/>
      <x:c r="G157" s="25"/>
      <x:c r="H157" s="22"/>
    </x:row>
    <x:row r="158" spans="1:8">
      <x:c r="A158" s="22"/>
      <x:c r="B158" s="23"/>
      <x:c r="C158" s="23"/>
      <x:c r="D158" s="24"/>
      <x:c r="E158" s="24"/>
      <x:c r="F158" s="24"/>
      <x:c r="G158" s="25"/>
      <x:c r="H158" s="22"/>
    </x:row>
    <x:row r="159" spans="1:8">
      <x:c r="A159" s="22"/>
      <x:c r="B159" s="23"/>
      <x:c r="C159" s="23"/>
      <x:c r="D159" s="24"/>
      <x:c r="E159" s="24"/>
      <x:c r="F159" s="24"/>
      <x:c r="G159" s="25"/>
      <x:c r="H159" s="22"/>
    </x:row>
    <x:row r="160" spans="1:8">
      <x:c r="A160" s="22"/>
      <x:c r="B160" s="23"/>
      <x:c r="C160" s="23"/>
      <x:c r="D160" s="24"/>
      <x:c r="E160" s="24"/>
      <x:c r="F160" s="24"/>
      <x:c r="G160" s="25"/>
      <x:c r="H160" s="22"/>
    </x:row>
    <x:row r="161" spans="1:8">
      <x:c r="A161" s="22"/>
      <x:c r="B161" s="23"/>
      <x:c r="C161" s="23"/>
      <x:c r="D161" s="24"/>
      <x:c r="E161" s="24"/>
      <x:c r="F161" s="24"/>
      <x:c r="G161" s="25"/>
      <x:c r="H161" s="22"/>
    </x:row>
    <x:row r="162" spans="1:8">
      <x:c r="A162" s="22"/>
      <x:c r="B162" s="23"/>
      <x:c r="C162" s="23"/>
      <x:c r="D162" s="24"/>
      <x:c r="E162" s="24"/>
      <x:c r="F162" s="24"/>
      <x:c r="G162" s="25"/>
      <x:c r="H162" s="22"/>
    </x:row>
    <x:row r="163" spans="1:8">
      <x:c r="A163" s="22"/>
      <x:c r="B163" s="23"/>
      <x:c r="C163" s="23"/>
      <x:c r="D163" s="24"/>
      <x:c r="E163" s="24"/>
      <x:c r="F163" s="24"/>
      <x:c r="G163" s="25"/>
      <x:c r="H163" s="22"/>
    </x:row>
    <x:row r="164" spans="1:8">
      <x:c r="A164" s="22"/>
      <x:c r="B164" s="23"/>
      <x:c r="C164" s="23"/>
      <x:c r="D164" s="24"/>
      <x:c r="E164" s="24"/>
      <x:c r="F164" s="24"/>
      <x:c r="G164" s="25"/>
      <x:c r="H164" s="22"/>
    </x:row>
    <x:row r="165" spans="1:8">
      <x:c r="A165" s="22"/>
      <x:c r="B165" s="23"/>
      <x:c r="C165" s="23"/>
      <x:c r="D165" s="24"/>
      <x:c r="E165" s="24"/>
      <x:c r="F165" s="24"/>
      <x:c r="G165" s="25"/>
      <x:c r="H165" s="22"/>
    </x:row>
    <x:row r="166" spans="1:8">
      <x:c r="A166" s="22"/>
      <x:c r="B166" s="23"/>
      <x:c r="C166" s="23"/>
      <x:c r="D166" s="24"/>
      <x:c r="E166" s="24"/>
      <x:c r="F166" s="24"/>
      <x:c r="G166" s="25"/>
      <x:c r="H166" s="22"/>
    </x:row>
    <x:row r="167" spans="1:8">
      <x:c r="A167" s="22"/>
      <x:c r="B167" s="23"/>
      <x:c r="C167" s="23"/>
      <x:c r="D167" s="24"/>
      <x:c r="E167" s="24"/>
      <x:c r="F167" s="24"/>
      <x:c r="G167" s="25"/>
      <x:c r="H167" s="22"/>
    </x:row>
    <x:row r="168" spans="1:8">
      <x:c r="A168" s="22"/>
      <x:c r="B168" s="23"/>
      <x:c r="C168" s="23"/>
      <x:c r="D168" s="24"/>
      <x:c r="E168" s="24"/>
      <x:c r="F168" s="24"/>
      <x:c r="G168" s="25"/>
      <x:c r="H168" s="22"/>
    </x:row>
    <x:row r="169" spans="1:8">
      <x:c r="A169" s="22"/>
      <x:c r="B169" s="23"/>
      <x:c r="C169" s="23"/>
      <x:c r="D169" s="24"/>
      <x:c r="E169" s="24"/>
      <x:c r="F169" s="24"/>
      <x:c r="G169" s="25"/>
      <x:c r="H169" s="22"/>
    </x:row>
    <x:row r="170" spans="1:8">
      <x:c r="A170" s="22"/>
      <x:c r="B170" s="23"/>
      <x:c r="C170" s="23"/>
      <x:c r="D170" s="24"/>
      <x:c r="E170" s="24"/>
      <x:c r="F170" s="24"/>
      <x:c r="G170" s="25"/>
      <x:c r="H170" s="22"/>
    </x:row>
    <x:row r="171" spans="1:8">
      <x:c r="A171" s="22"/>
      <x:c r="B171" s="23"/>
      <x:c r="C171" s="23"/>
      <x:c r="D171" s="24"/>
      <x:c r="E171" s="24"/>
      <x:c r="F171" s="24"/>
      <x:c r="G171" s="25"/>
      <x:c r="H171" s="22"/>
    </x:row>
    <x:row r="172" spans="1:8">
      <x:c r="A172" s="22"/>
      <x:c r="B172" s="23"/>
      <x:c r="C172" s="23"/>
      <x:c r="D172" s="24"/>
      <x:c r="E172" s="24"/>
      <x:c r="F172" s="24"/>
      <x:c r="G172" s="25"/>
      <x:c r="H172" s="22"/>
    </x:row>
    <x:row r="173" spans="1:8">
      <x:c r="A173" s="22"/>
      <x:c r="B173" s="23"/>
      <x:c r="C173" s="23"/>
      <x:c r="D173" s="24"/>
      <x:c r="E173" s="24"/>
      <x:c r="F173" s="24"/>
      <x:c r="G173" s="25"/>
      <x:c r="H173" s="22"/>
    </x:row>
    <x:row r="174" spans="1:8">
      <x:c r="A174" s="22"/>
      <x:c r="B174" s="23"/>
      <x:c r="C174" s="23"/>
      <x:c r="D174" s="24"/>
      <x:c r="E174" s="24"/>
      <x:c r="F174" s="24"/>
      <x:c r="G174" s="25"/>
      <x:c r="H174" s="22"/>
    </x:row>
    <x:row r="175" spans="1:8">
      <x:c r="A175" s="22"/>
      <x:c r="B175" s="23"/>
      <x:c r="C175" s="23"/>
      <x:c r="D175" s="24"/>
      <x:c r="E175" s="24"/>
      <x:c r="F175" s="24"/>
      <x:c r="G175" s="25"/>
      <x:c r="H175" s="22"/>
    </x:row>
    <x:row r="176" spans="1:8">
      <x:c r="A176" s="22"/>
      <x:c r="B176" s="23"/>
      <x:c r="C176" s="23"/>
      <x:c r="D176" s="24"/>
      <x:c r="E176" s="24"/>
      <x:c r="F176" s="24"/>
      <x:c r="G176" s="25"/>
      <x:c r="H176" s="22"/>
    </x:row>
    <x:row r="177" spans="1:8">
      <x:c r="A177" s="22"/>
      <x:c r="B177" s="23"/>
      <x:c r="C177" s="23"/>
      <x:c r="D177" s="24"/>
      <x:c r="E177" s="24"/>
      <x:c r="F177" s="24"/>
      <x:c r="G177" s="25"/>
      <x:c r="H177" s="22"/>
    </x:row>
    <x:row r="178" spans="1:8">
      <x:c r="A178" s="22"/>
      <x:c r="B178" s="23"/>
      <x:c r="C178" s="23"/>
      <x:c r="D178" s="24"/>
      <x:c r="E178" s="24"/>
      <x:c r="F178" s="24"/>
      <x:c r="G178" s="25"/>
      <x:c r="H178" s="22"/>
    </x:row>
    <x:row r="179" spans="1:8">
      <x:c r="A179" s="22"/>
      <x:c r="B179" s="23"/>
      <x:c r="C179" s="23"/>
      <x:c r="D179" s="24"/>
      <x:c r="E179" s="24"/>
      <x:c r="F179" s="24"/>
      <x:c r="G179" s="25"/>
      <x:c r="H179" s="22"/>
    </x:row>
    <x:row r="180" spans="1:8">
      <x:c r="A180" s="22"/>
      <x:c r="B180" s="23"/>
      <x:c r="C180" s="23"/>
      <x:c r="D180" s="24"/>
      <x:c r="E180" s="24"/>
      <x:c r="F180" s="24"/>
      <x:c r="G180" s="25"/>
      <x:c r="H180" s="22"/>
    </x:row>
    <x:row r="181" spans="1:8">
      <x:c r="A181" s="22"/>
      <x:c r="B181" s="23"/>
      <x:c r="C181" s="23"/>
      <x:c r="D181" s="24"/>
      <x:c r="E181" s="24"/>
      <x:c r="F181" s="24"/>
      <x:c r="G181" s="25"/>
      <x:c r="H181" s="22"/>
    </x:row>
    <x:row r="182" spans="1:8">
      <x:c r="A182" s="22"/>
      <x:c r="B182" s="23"/>
      <x:c r="C182" s="23"/>
      <x:c r="D182" s="24"/>
      <x:c r="E182" s="24"/>
      <x:c r="F182" s="24"/>
      <x:c r="G182" s="25"/>
      <x:c r="H182" s="22"/>
    </x:row>
    <x:row r="183" spans="1:8">
      <x:c r="A183" s="22"/>
      <x:c r="B183" s="23"/>
      <x:c r="C183" s="23"/>
      <x:c r="D183" s="24"/>
      <x:c r="E183" s="24"/>
      <x:c r="F183" s="24"/>
      <x:c r="G183" s="25"/>
      <x:c r="H183" s="22"/>
    </x:row>
    <x:row r="184" spans="1:8">
      <x:c r="A184" s="22"/>
      <x:c r="B184" s="23"/>
      <x:c r="C184" s="23"/>
      <x:c r="D184" s="24"/>
      <x:c r="E184" s="24"/>
      <x:c r="F184" s="24"/>
      <x:c r="G184" s="25"/>
      <x:c r="H184" s="22"/>
    </x:row>
    <x:row r="185" spans="1:8">
      <x:c r="A185" s="22"/>
      <x:c r="B185" s="23"/>
      <x:c r="C185" s="23"/>
      <x:c r="D185" s="24"/>
      <x:c r="E185" s="24"/>
      <x:c r="F185" s="24"/>
      <x:c r="G185" s="25"/>
      <x:c r="H185" s="22"/>
    </x:row>
    <x:row r="186" spans="1:8">
      <x:c r="A186" s="22"/>
      <x:c r="B186" s="23"/>
      <x:c r="C186" s="23"/>
      <x:c r="D186" s="24"/>
      <x:c r="E186" s="24"/>
      <x:c r="F186" s="24"/>
      <x:c r="G186" s="25"/>
      <x:c r="H186" s="22"/>
    </x:row>
    <x:row r="187" spans="1:8">
      <x:c r="A187" s="22"/>
      <x:c r="B187" s="23"/>
      <x:c r="C187" s="23"/>
      <x:c r="D187" s="24"/>
      <x:c r="E187" s="24"/>
      <x:c r="F187" s="24"/>
      <x:c r="G187" s="25"/>
      <x:c r="H187" s="22"/>
    </x:row>
    <x:row r="188" spans="1:8">
      <x:c r="A188" s="22"/>
      <x:c r="B188" s="23"/>
      <x:c r="C188" s="23"/>
      <x:c r="D188" s="24"/>
      <x:c r="E188" s="24"/>
      <x:c r="F188" s="24"/>
      <x:c r="G188" s="25"/>
      <x:c r="H188" s="22"/>
    </x:row>
    <x:row r="189" spans="1:8">
      <x:c r="A189" s="22"/>
      <x:c r="B189" s="23"/>
      <x:c r="C189" s="23"/>
      <x:c r="D189" s="24"/>
      <x:c r="E189" s="24"/>
      <x:c r="F189" s="24"/>
      <x:c r="G189" s="25"/>
      <x:c r="H189" s="22"/>
    </x:row>
    <x:row r="190" spans="1:8">
      <x:c r="A190" s="22"/>
      <x:c r="B190" s="23"/>
      <x:c r="C190" s="23"/>
      <x:c r="D190" s="24"/>
      <x:c r="E190" s="24"/>
      <x:c r="F190" s="24"/>
      <x:c r="G190" s="25"/>
      <x:c r="H190" s="22"/>
    </x:row>
    <x:row r="191" spans="1:8">
      <x:c r="A191" s="22"/>
      <x:c r="B191" s="23"/>
      <x:c r="C191" s="23"/>
      <x:c r="D191" s="24"/>
      <x:c r="E191" s="24"/>
      <x:c r="F191" s="24"/>
      <x:c r="G191" s="25"/>
      <x:c r="H191" s="22"/>
    </x:row>
    <x:row r="192" spans="1:8">
      <x:c r="A192" s="22"/>
      <x:c r="B192" s="23"/>
      <x:c r="C192" s="23"/>
      <x:c r="D192" s="24"/>
      <x:c r="E192" s="24"/>
      <x:c r="F192" s="24"/>
      <x:c r="G192" s="25"/>
      <x:c r="H192" s="22"/>
    </x:row>
    <x:row r="193" spans="1:8">
      <x:c r="A193" s="22"/>
      <x:c r="B193" s="23"/>
      <x:c r="C193" s="23"/>
      <x:c r="D193" s="24"/>
      <x:c r="E193" s="24"/>
      <x:c r="F193" s="24"/>
      <x:c r="G193" s="25"/>
      <x:c r="H193" s="22"/>
    </x:row>
    <x:row r="194" spans="1:8">
      <x:c r="A194" s="22"/>
      <x:c r="B194" s="23"/>
      <x:c r="C194" s="23"/>
      <x:c r="D194" s="24"/>
      <x:c r="E194" s="24"/>
      <x:c r="F194" s="24"/>
      <x:c r="G194" s="25"/>
      <x:c r="H194" s="22"/>
    </x:row>
    <x:row r="195" spans="1:8">
      <x:c r="A195" s="22"/>
      <x:c r="B195" s="23"/>
      <x:c r="C195" s="23"/>
      <x:c r="D195" s="24"/>
      <x:c r="E195" s="24"/>
      <x:c r="F195" s="24"/>
      <x:c r="G195" s="25"/>
      <x:c r="H195" s="22"/>
    </x:row>
    <x:row r="196" spans="1:8">
      <x:c r="A196" s="22"/>
      <x:c r="B196" s="23"/>
      <x:c r="C196" s="23"/>
      <x:c r="D196" s="24"/>
      <x:c r="E196" s="24"/>
      <x:c r="F196" s="24"/>
      <x:c r="G196" s="25"/>
      <x:c r="H196" s="22"/>
    </x:row>
    <x:row r="197" spans="1:8">
      <x:c r="A197" s="22"/>
      <x:c r="B197" s="23"/>
      <x:c r="C197" s="23"/>
      <x:c r="D197" s="24"/>
      <x:c r="E197" s="24"/>
      <x:c r="F197" s="24"/>
      <x:c r="G197" s="25"/>
      <x:c r="H197" s="22"/>
    </x:row>
    <x:row r="198" spans="1:8">
      <x:c r="A198" s="22"/>
      <x:c r="B198" s="23"/>
      <x:c r="C198" s="23"/>
      <x:c r="D198" s="24"/>
      <x:c r="E198" s="24"/>
      <x:c r="F198" s="24"/>
      <x:c r="G198" s="25"/>
      <x:c r="H198" s="22"/>
    </x:row>
    <x:row r="199" spans="1:8">
      <x:c r="A199" s="22"/>
      <x:c r="B199" s="23"/>
      <x:c r="C199" s="23"/>
      <x:c r="D199" s="24"/>
      <x:c r="E199" s="24"/>
      <x:c r="F199" s="24"/>
      <x:c r="G199" s="25"/>
      <x:c r="H199" s="22"/>
    </x:row>
    <x:row r="200" spans="1:8">
      <x:c r="A200" s="22"/>
      <x:c r="B200" s="23"/>
      <x:c r="C200" s="23"/>
      <x:c r="D200" s="24"/>
      <x:c r="E200" s="24"/>
      <x:c r="F200" s="24"/>
      <x:c r="G200" s="25"/>
      <x:c r="H200" s="22"/>
    </x:row>
  </x:sheetData>
  <x:autoFilter ref="A1:H200"/>
  <x:conditionalFormatting sqref="F2:F200">
    <x:cfRule type="cellIs" dxfId="2" priority="1" operator="equal">
      <x:formula>"Concluída"</x:formula>
    </x:cfRule>
  </x:conditionalFormatting>
  <x:conditionalFormatting sqref="H2:H200">
    <x:cfRule type="cellIs" dxfId="1" priority="2" operator="equal">
      <x:formula>"Atrasado"</x:formula>
    </x:cfRule>
  </x:conditionalFormatting>
  <x:dataValidations count="2">
    <x:dataValidation type="list" errorStyle="stop" operator="between" allowBlank="1" showDropDown="0" showInputMessage="1" showErrorMessage="1" errorTitle="Valor fora da lista" error="Escolha um valor da lista." promptTitle="" prompt="" sqref="F2:F200">
      <x:formula1>"Aberta,Em andamento,Concluída"</x:formula1>
      <x:formula2/>
    </x:dataValidation>
    <x:dataValidation type="list" errorStyle="stop" operator="between" allowBlank="1" showDropDown="0" showInputMessage="1" showErrorMessage="1" errorTitle="Valor fora da lista" error="Escolha um valor da lista." promptTitle="" prompt="" sqref="H2:H200">
      <x:formula1>"No prazo,Atrasado"</x:formula1>
      <x:formula2/>
    </x:dataValidation>
  </x:dataValidations>
  <x:printOptions horizontalCentered="0" verticalCentered="0" headings="0" gridLines="0"/>
  <x:pageMargins left="0.25" right="0.25" top="0.75" bottom="0.75" header="0.3" footer="0.3"/>
  <x:pageSetup paperSize="1" fitToHeight="0" pageOrder="downThenOver" orientation="landscape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Valor fora da lista" error="Escolha um valor da lista." promptTitle="" prompt="">
          <x14:formula1>
            <xm:f>Painel!$B$13:$B$16</xm:f>
          </x14:formula1>
          <xm:sqref>D2:D200</xm:sqref>
        </x14:dataValidation>
      </x14:dataValidation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Painel</vt:lpstr>
      <vt:lpstr>Dados</vt:lpstr>
      <vt:lpstr>Painel!Print_Area</vt:lpstr>
      <vt:lpstr>Painel!Print_Titles</vt:lpstr>
      <vt:lpstr>Dados!Print_Area</vt:lpstr>
      <vt:lpstr>Dados!Print_Titles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